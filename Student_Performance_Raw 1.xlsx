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40\EXCELCNV\d5057998-f3a7-4086-a7af-93e3b73b8bfe\"/>
    </mc:Choice>
  </mc:AlternateContent>
  <xr:revisionPtr revIDLastSave="0" documentId="8_{1B63CBC7-1435-459C-9094-F837E713E9DB}" xr6:coauthVersionLast="47" xr6:coauthVersionMax="47" xr10:uidLastSave="{00000000-0000-0000-0000-000000000000}"/>
  <bookViews>
    <workbookView xWindow="-60" yWindow="-60" windowWidth="15480" windowHeight="11640" firstSheet="3" activeTab="3" xr2:uid="{E859FA5A-9B80-458C-8D2F-88D54BD84088}"/>
  </bookViews>
  <sheets>
    <sheet name="Raw Data" sheetId="1" r:id="rId1"/>
    <sheet name="Subject_Analysis" sheetId="2" r:id="rId2"/>
    <sheet name="Grade_Distribution" sheetId="3" r:id="rId3"/>
    <sheet name="Dashboar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4" l="1"/>
  <c r="D20" i="4"/>
  <c r="D19" i="4"/>
  <c r="D18" i="4"/>
  <c r="D17" i="4"/>
  <c r="C21" i="4"/>
  <c r="C20" i="4"/>
  <c r="C19" i="4"/>
  <c r="C18" i="4"/>
  <c r="C17" i="4"/>
  <c r="B21" i="4"/>
  <c r="B20" i="4"/>
  <c r="B19" i="4"/>
  <c r="B18" i="4"/>
  <c r="B17" i="4"/>
  <c r="D14" i="4"/>
  <c r="D10" i="4"/>
  <c r="C14" i="4"/>
  <c r="C11" i="4"/>
  <c r="B14" i="4"/>
  <c r="B10" i="4"/>
  <c r="D13" i="4"/>
  <c r="C13" i="4"/>
  <c r="C12" i="4"/>
  <c r="B13" i="4"/>
  <c r="D12" i="4"/>
  <c r="D11" i="4"/>
  <c r="B12" i="4"/>
  <c r="B11" i="4"/>
  <c r="C10" i="4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2" i="1"/>
  <c r="B6" i="4"/>
  <c r="B5" i="4"/>
  <c r="B4" i="4"/>
  <c r="B3" i="4"/>
  <c r="B8" i="3"/>
  <c r="B6" i="3"/>
  <c r="B5" i="3"/>
  <c r="B4" i="3"/>
  <c r="B3" i="3"/>
  <c r="B2" i="3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3" i="1"/>
  <c r="J4" i="1"/>
  <c r="J5" i="1"/>
  <c r="J6" i="1"/>
  <c r="J7" i="1"/>
  <c r="J8" i="1"/>
  <c r="J9" i="1"/>
  <c r="J151" i="1"/>
  <c r="J2" i="1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<sst xmlns="http://schemas.openxmlformats.org/spreadsheetml/2006/main" count="206" uniqueCount="187">
  <si>
    <t>Roll_No</t>
  </si>
  <si>
    <t>Student_Name</t>
  </si>
  <si>
    <t>Mathematics</t>
  </si>
  <si>
    <t>English</t>
  </si>
  <si>
    <t>Science</t>
  </si>
  <si>
    <t>Social_Studies</t>
  </si>
  <si>
    <t>Computer</t>
  </si>
  <si>
    <t>Hindi</t>
  </si>
  <si>
    <t>Total_Marks</t>
  </si>
  <si>
    <t>Percentage</t>
  </si>
  <si>
    <t>Tie Breaker</t>
  </si>
  <si>
    <t>Aarav Kumar</t>
  </si>
  <si>
    <t>Ananya Singh</t>
  </si>
  <si>
    <t>Arjun Patel</t>
  </si>
  <si>
    <t>Avni Sharma</t>
  </si>
  <si>
    <t>Bhabha Roy</t>
  </si>
  <si>
    <t>Bhavna Gupta</t>
  </si>
  <si>
    <t>Chirag Desai</t>
  </si>
  <si>
    <t>Chitra Iyer</t>
  </si>
  <si>
    <t>Deepak Singh</t>
  </si>
  <si>
    <t>Dhanya Nair</t>
  </si>
  <si>
    <t>Ethan Kumar</t>
  </si>
  <si>
    <t>Esha Verma</t>
  </si>
  <si>
    <t>Farah Khan</t>
  </si>
  <si>
    <t>Faisal Ahmed</t>
  </si>
  <si>
    <t>Gagan Sharma</t>
  </si>
  <si>
    <t>Garima Singh</t>
  </si>
  <si>
    <t>Harish Patel</t>
  </si>
  <si>
    <t>Harshita Nair</t>
  </si>
  <si>
    <t>Isha Gupta</t>
  </si>
  <si>
    <t>Ishaan Roy</t>
  </si>
  <si>
    <t>Jagat Singh</t>
  </si>
  <si>
    <t>Jasmine Khan</t>
  </si>
  <si>
    <t>Jaya Sharma</t>
  </si>
  <si>
    <t>Jeet Kumar</t>
  </si>
  <si>
    <t>Kaavya Iyer</t>
  </si>
  <si>
    <t>Kabir Ahmed</t>
  </si>
  <si>
    <t>Kavya Nair</t>
  </si>
  <si>
    <t>Keshav Patel</t>
  </si>
  <si>
    <t>Khushi Singh</t>
  </si>
  <si>
    <t>Komal Sharma</t>
  </si>
  <si>
    <t>Laxmi Kumar</t>
  </si>
  <si>
    <t>Laksh Gupta</t>
  </si>
  <si>
    <t>Leela Roy</t>
  </si>
  <si>
    <t>Lokesh Patel</t>
  </si>
  <si>
    <t>Madhav Singh</t>
  </si>
  <si>
    <t>Madhuri Nair</t>
  </si>
  <si>
    <t>Mahesh Sharma</t>
  </si>
  <si>
    <t>Manavi Khan</t>
  </si>
  <si>
    <t>Manoj Kumar</t>
  </si>
  <si>
    <t>Mansi Iyer</t>
  </si>
  <si>
    <t>Megha Singh</t>
  </si>
  <si>
    <t>Meera Patel</t>
  </si>
  <si>
    <t>Mehul Gupta</t>
  </si>
  <si>
    <t>Mira Sharma</t>
  </si>
  <si>
    <t>Mohan Roy</t>
  </si>
  <si>
    <t>Mohini Nair</t>
  </si>
  <si>
    <t>Naveen Kumar</t>
  </si>
  <si>
    <t>Navya Singh</t>
  </si>
  <si>
    <t>Neha Patel</t>
  </si>
  <si>
    <t>Neil Sharma</t>
  </si>
  <si>
    <t>Nikhil Khan</t>
  </si>
  <si>
    <t>Nikita Iyer</t>
  </si>
  <si>
    <t>Nisha Roy</t>
  </si>
  <si>
    <t>Nithya Gupta</t>
  </si>
  <si>
    <t>Omprakash Singh</t>
  </si>
  <si>
    <t>Omisha Nair</t>
  </si>
  <si>
    <t>Oswin Sharma</t>
  </si>
  <si>
    <t>Padma Kumar</t>
  </si>
  <si>
    <t>Palak Khan</t>
  </si>
  <si>
    <t>Pankaj Patel</t>
  </si>
  <si>
    <t>Pankhuri Singh</t>
  </si>
  <si>
    <t>Parag Iyer</t>
  </si>
  <si>
    <t>Parineeta Roy</t>
  </si>
  <si>
    <t>Parth Sharma</t>
  </si>
  <si>
    <t>Pasha Gupta</t>
  </si>
  <si>
    <t>Pavan Kumar</t>
  </si>
  <si>
    <t>Pavitra Nair</t>
  </si>
  <si>
    <t>Peeyush Singh</t>
  </si>
  <si>
    <t>Pooja Khan</t>
  </si>
  <si>
    <t>Prabhat Patel</t>
  </si>
  <si>
    <t>Pragya Iyer</t>
  </si>
  <si>
    <t>Prajwal Sharma</t>
  </si>
  <si>
    <t>Prakash Roy</t>
  </si>
  <si>
    <t>Pramod Kumar</t>
  </si>
  <si>
    <t>Pran Singh</t>
  </si>
  <si>
    <t>Pranav Nair</t>
  </si>
  <si>
    <t>Pranjal Gupta</t>
  </si>
  <si>
    <t>Pranoy Patel</t>
  </si>
  <si>
    <t>Prarthana Khan</t>
  </si>
  <si>
    <t>Prateek Sharma</t>
  </si>
  <si>
    <t>Pratik Roy</t>
  </si>
  <si>
    <t>Pratt Iyer</t>
  </si>
  <si>
    <t>Praveen Kumar</t>
  </si>
  <si>
    <t>Priya Singh</t>
  </si>
  <si>
    <t>Priyanka Nair</t>
  </si>
  <si>
    <t>Priyansh Gupta</t>
  </si>
  <si>
    <t>Priyanshu Patel</t>
  </si>
  <si>
    <t>Priyesh Khan</t>
  </si>
  <si>
    <t>Priyesh Sharma</t>
  </si>
  <si>
    <t>Pushkar Roy</t>
  </si>
  <si>
    <t>Pushpanjali Iyer</t>
  </si>
  <si>
    <t>Puru Kumar</t>
  </si>
  <si>
    <t>Purva Singh</t>
  </si>
  <si>
    <t>Qadir Khan</t>
  </si>
  <si>
    <t>Qasim Patel</t>
  </si>
  <si>
    <t>Qudhaa Nair</t>
  </si>
  <si>
    <t>Quentin Sharma</t>
  </si>
  <si>
    <t>Quilla Roy</t>
  </si>
  <si>
    <t>Quincy Gupta</t>
  </si>
  <si>
    <t>Quinn Kumar</t>
  </si>
  <si>
    <t>Raghu Singh</t>
  </si>
  <si>
    <t>Ragini Iyer</t>
  </si>
  <si>
    <t>Rahul Nair</t>
  </si>
  <si>
    <t>Raina Khan</t>
  </si>
  <si>
    <t>Raj Patel</t>
  </si>
  <si>
    <t>Raja Sharma</t>
  </si>
  <si>
    <t>Rajaram Roy</t>
  </si>
  <si>
    <t>Rajat Gupta</t>
  </si>
  <si>
    <t>Rajesh Kumar</t>
  </si>
  <si>
    <t>Rajeshwari Singh</t>
  </si>
  <si>
    <t>Rajiv Nair</t>
  </si>
  <si>
    <t>Rajkumar Iyer</t>
  </si>
  <si>
    <t>Rajni Khan</t>
  </si>
  <si>
    <t>Rajwinder Patel</t>
  </si>
  <si>
    <t>Rakesh Sharma</t>
  </si>
  <si>
    <t>Raksha Roy</t>
  </si>
  <si>
    <t>Ramakrishnan Gupta</t>
  </si>
  <si>
    <t>Ramandra Kumar</t>
  </si>
  <si>
    <t>Ramchandra Singh</t>
  </si>
  <si>
    <t>Ramendra Nair</t>
  </si>
  <si>
    <t>Ramessh Iyer</t>
  </si>
  <si>
    <t>Ramesh Khan</t>
  </si>
  <si>
    <t>Ramgopal Patel</t>
  </si>
  <si>
    <t>Rammohun Roy</t>
  </si>
  <si>
    <t>Ramnarayan Sharma</t>
  </si>
  <si>
    <t>Ramnath Gupta</t>
  </si>
  <si>
    <t>Ramsingh Kumar</t>
  </si>
  <si>
    <t>Ramvilas Singh</t>
  </si>
  <si>
    <t>Ranajay Nair</t>
  </si>
  <si>
    <t>Ranchod Iyer</t>
  </si>
  <si>
    <t>Ranchor Khan</t>
  </si>
  <si>
    <t>Randa Patel</t>
  </si>
  <si>
    <t>Randolph Roy</t>
  </si>
  <si>
    <t>Ranil Sharma</t>
  </si>
  <si>
    <t>Ranith Gupta</t>
  </si>
  <si>
    <t>Ranjay Kumar</t>
  </si>
  <si>
    <t>Ranjeet Singh</t>
  </si>
  <si>
    <t>Ranjit Nair</t>
  </si>
  <si>
    <t>Ranjitsinh Iyer</t>
  </si>
  <si>
    <t>Rankai Khan</t>
  </si>
  <si>
    <t>Rankadhish Patel</t>
  </si>
  <si>
    <t>Rankesh Sharma</t>
  </si>
  <si>
    <t>Rankeshwar Roy</t>
  </si>
  <si>
    <t>Rankhraj Gupta</t>
  </si>
  <si>
    <t>Rankil Kumar</t>
  </si>
  <si>
    <t>Rankilla Singh</t>
  </si>
  <si>
    <t>Rankin Nair</t>
  </si>
  <si>
    <t>Rankine Iyer</t>
  </si>
  <si>
    <t>Ranking Khan</t>
  </si>
  <si>
    <t>Rankini Patel</t>
  </si>
  <si>
    <t>Subject</t>
  </si>
  <si>
    <t>Class Average</t>
  </si>
  <si>
    <t>Status</t>
  </si>
  <si>
    <t>Maths</t>
  </si>
  <si>
    <t>Good</t>
  </si>
  <si>
    <t>Strong</t>
  </si>
  <si>
    <t>Social Science</t>
  </si>
  <si>
    <t>Needs Work based on average</t>
  </si>
  <si>
    <t xml:space="preserve">Score Range </t>
  </si>
  <si>
    <t xml:space="preserve">Count </t>
  </si>
  <si>
    <t>90-100</t>
  </si>
  <si>
    <t>80-89</t>
  </si>
  <si>
    <t>70-79</t>
  </si>
  <si>
    <t>60-69</t>
  </si>
  <si>
    <t>below 60</t>
  </si>
  <si>
    <t>Verify</t>
  </si>
  <si>
    <t>STUDENT PERFORMANCE ANALYSIS - DASHBOARD</t>
  </si>
  <si>
    <t xml:space="preserve"> KPI cards</t>
  </si>
  <si>
    <t xml:space="preserve">Total Students </t>
  </si>
  <si>
    <t>Overall  Average Score</t>
  </si>
  <si>
    <t>Pass Percentage</t>
  </si>
  <si>
    <t>Top Score</t>
  </si>
  <si>
    <t>Rank</t>
  </si>
  <si>
    <t>Roll No</t>
  </si>
  <si>
    <t xml:space="preserve">Student Name </t>
  </si>
  <si>
    <t xml:space="preserve">Total Marks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</si>
</sst>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/>
    <xf numFmtId="0" fontId="0" fillId="0" borderId="0" xfId="0" applyFont="1"/>
    <xf numFmtId="0" fontId="0" fillId="0" borderId="0" xfId="0" applyAlignment="1">
      <alignment wrapText="1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0" fillId="0" borderId="0" xfId="0" quotePrefix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Distribution — Student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Grade_Distribution!$B$1</c:f>
              <c:strCache>
                <c:ptCount val="1"/>
                <c:pt idx="0">
                  <c:v>Count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Grade_Distribution!$A$2:$A$6</c:f>
              <c:strCache>
                <c:ptCount val="5"/>
                <c:pt idx="0">
                  <c:v>90-100</c:v>
                </c:pt>
                <c:pt idx="1">
                  <c:v>80-89</c:v>
                </c:pt>
                <c:pt idx="2">
                  <c:v>70-79</c:v>
                </c:pt>
                <c:pt idx="3">
                  <c:v>60-69</c:v>
                </c:pt>
                <c:pt idx="4">
                  <c:v>below 60</c:v>
                </c:pt>
              </c:strCache>
            </c:strRef>
          </c:cat>
          <c:val>
            <c:numRef>
              <c:f>Grade_Distribution!$B$2:$B$6</c:f>
              <c:numCache>
                <c:formatCode>General</c:formatCode>
                <c:ptCount val="5"/>
                <c:pt idx="0">
                  <c:v>18</c:v>
                </c:pt>
                <c:pt idx="1">
                  <c:v>93</c:v>
                </c:pt>
                <c:pt idx="2">
                  <c:v>39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34-4819-ADF7-532A07EE1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73544"/>
        <c:axId val="19075592"/>
      </c:barChart>
      <c:catAx>
        <c:axId val="19073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5592"/>
        <c:crosses val="autoZero"/>
        <c:auto val="1"/>
        <c:lblAlgn val="ctr"/>
        <c:lblOffset val="100"/>
        <c:noMultiLvlLbl val="0"/>
      </c:catAx>
      <c:valAx>
        <c:axId val="1907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3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Score by Subject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Subject_Analysis!$E$1</c:f>
              <c:strCache>
                <c:ptCount val="1"/>
                <c:pt idx="0">
                  <c:v>Class Average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472C4"/>
              </a:solidFill>
              <a:ln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CEA0-42C0-93A9-4D5B11F4E791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CEA0-42C0-93A9-4D5B11F4E791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CEA0-42C0-93A9-4D5B11F4E791}"/>
              </c:ext>
            </c:extLst>
          </c:dPt>
          <c:dPt>
            <c:idx val="5"/>
            <c:invertIfNegative val="0"/>
            <c:bubble3D val="0"/>
            <c:spPr>
              <a:solidFill>
                <a:srgbClr val="4472C4"/>
              </a:solidFill>
              <a:ln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CEA0-42C0-93A9-4D5B11F4E7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Subject_Analysis!$D$2:$D$7</c:f>
              <c:strCache>
                <c:ptCount val="6"/>
                <c:pt idx="0">
                  <c:v>Maths</c:v>
                </c:pt>
                <c:pt idx="1">
                  <c:v>English</c:v>
                </c:pt>
                <c:pt idx="2">
                  <c:v>Science</c:v>
                </c:pt>
                <c:pt idx="3">
                  <c:v>Social Science</c:v>
                </c:pt>
                <c:pt idx="4">
                  <c:v>Computer</c:v>
                </c:pt>
                <c:pt idx="5">
                  <c:v>Hindi</c:v>
                </c:pt>
              </c:strCache>
            </c:strRef>
          </c:cat>
          <c:val>
            <c:numRef>
              <c:f>Subject_Analysis!$E$2:$E$7</c:f>
              <c:numCache>
                <c:formatCode>General</c:formatCode>
                <c:ptCount val="6"/>
                <c:pt idx="0">
                  <c:v>84.04</c:v>
                </c:pt>
                <c:pt idx="1">
                  <c:v>81.73</c:v>
                </c:pt>
                <c:pt idx="2">
                  <c:v>85.04</c:v>
                </c:pt>
                <c:pt idx="3">
                  <c:v>79.95</c:v>
                </c:pt>
                <c:pt idx="4">
                  <c:v>86.82</c:v>
                </c:pt>
                <c:pt idx="5">
                  <c:v>83.36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2-4445-A777-CADBCA429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1700103"/>
        <c:axId val="405693447"/>
      </c:barChart>
      <c:catAx>
        <c:axId val="461700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693447"/>
        <c:crosses val="autoZero"/>
        <c:auto val="1"/>
        <c:lblAlgn val="ctr"/>
        <c:lblOffset val="100"/>
        <c:noMultiLvlLbl val="0"/>
      </c:catAx>
      <c:valAx>
        <c:axId val="405693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700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Distribution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Grade_Distribution!$B$1</c:f>
              <c:strCache>
                <c:ptCount val="1"/>
                <c:pt idx="0">
                  <c:v>Count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F0-4F7F-A65E-3DE1297C68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F0-4F7F-A65E-3DE1297C68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6F0-4F7F-A65E-3DE1297C68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6F0-4F7F-A65E-3DE1297C682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6F0-4F7F-A65E-3DE1297C682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6F0-4F7F-A65E-3DE1297C682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6F0-4F7F-A65E-3DE1297C68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Grade_Distribution!$A$2:$A$8</c:f>
              <c:strCache>
                <c:ptCount val="7"/>
                <c:pt idx="0">
                  <c:v>90-100</c:v>
                </c:pt>
                <c:pt idx="1">
                  <c:v>80-89</c:v>
                </c:pt>
                <c:pt idx="2">
                  <c:v>70-79</c:v>
                </c:pt>
                <c:pt idx="3">
                  <c:v>60-69</c:v>
                </c:pt>
                <c:pt idx="4">
                  <c:v>below 60</c:v>
                </c:pt>
                <c:pt idx="6">
                  <c:v>Verify</c:v>
                </c:pt>
              </c:strCache>
            </c:strRef>
          </c:cat>
          <c:val>
            <c:numRef>
              <c:f>Grade_Distribution!$B$2:$B$8</c:f>
              <c:numCache>
                <c:formatCode>General</c:formatCode>
                <c:ptCount val="7"/>
                <c:pt idx="0">
                  <c:v>18</c:v>
                </c:pt>
                <c:pt idx="1">
                  <c:v>93</c:v>
                </c:pt>
                <c:pt idx="2">
                  <c:v>39</c:v>
                </c:pt>
                <c:pt idx="3">
                  <c:v>0</c:v>
                </c:pt>
                <c:pt idx="4">
                  <c:v>0</c:v>
                </c:pt>
                <c:pt idx="6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6F0-4F7F-A65E-3DE1297C68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Performers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Dashboard!$D$9</c:f>
              <c:strCache>
                <c:ptCount val="1"/>
                <c:pt idx="0">
                  <c:v>Total Marks </c:v>
                </c:pt>
              </c:strCache>
            </c:strRef>
          </c:tx>
          <c:spPr>
            <a:solidFill>
              <a:srgbClr val="BF8F00"/>
            </a:solidFill>
            <a:ln>
              <a:solidFill>
                <a:srgbClr val="FF0000"/>
              </a:solidFill>
              <a:prstDash val="solid"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C2E9-4FFB-965E-7D34DA64E8F5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C2E9-4FFB-965E-7D34DA64E8F5}"/>
              </c:ext>
            </c:extLst>
          </c:dPt>
          <c:dPt>
            <c:idx val="3"/>
            <c:invertIfNegative val="0"/>
            <c:bubble3D val="0"/>
            <c:spPr>
              <a:solidFill>
                <a:srgbClr val="0070C0"/>
              </a:solidFill>
              <a:ln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C2E9-4FFB-965E-7D34DA64E8F5}"/>
              </c:ext>
            </c:extLst>
          </c:dPt>
          <c:dPt>
            <c:idx val="4"/>
            <c:invertIfNegative val="0"/>
            <c:bubble3D val="0"/>
            <c:spPr>
              <a:solidFill>
                <a:srgbClr val="0070C0"/>
              </a:solidFill>
              <a:ln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C2E9-4FFB-965E-7D34DA64E8F5}"/>
              </c:ext>
            </c:extLst>
          </c:dPt>
          <c:cat>
            <c:multiLvlStrRef>
              <c:f>Dashboard!$A$10:$C$14</c:f>
              <c:multiLvlStrCache>
                <c:ptCount val="5"/>
                <c:lvl>
                  <c:pt idx="0">
                    <c:v>Rankini Patel</c:v>
                  </c:pt>
                  <c:pt idx="1">
                    <c:v>Pankhuri Singh</c:v>
                  </c:pt>
                  <c:pt idx="2">
                    <c:v>Kavya Nair</c:v>
                  </c:pt>
                  <c:pt idx="3">
                    <c:v>Bhavna Gupta</c:v>
                  </c:pt>
                  <c:pt idx="4">
                    <c:v>Ranith Gupta</c:v>
                  </c:pt>
                </c:lvl>
                <c:lvl>
                  <c:pt idx="0">
                    <c:v>150</c:v>
                  </c:pt>
                  <c:pt idx="1">
                    <c:v>61</c:v>
                  </c:pt>
                  <c:pt idx="2">
                    <c:v>27</c:v>
                  </c:pt>
                  <c:pt idx="3">
                    <c:v>6</c:v>
                  </c:pt>
                  <c:pt idx="4">
                    <c:v>135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</c:multiLvlStrCache>
            </c:multiLvlStrRef>
          </c:cat>
          <c:val>
            <c:numRef>
              <c:f>Dashboard!$D$10:$D$14</c:f>
              <c:numCache>
                <c:formatCode>General</c:formatCode>
                <c:ptCount val="5"/>
                <c:pt idx="0">
                  <c:v>554</c:v>
                </c:pt>
                <c:pt idx="1">
                  <c:v>554</c:v>
                </c:pt>
                <c:pt idx="2">
                  <c:v>554</c:v>
                </c:pt>
                <c:pt idx="3">
                  <c:v>550</c:v>
                </c:pt>
                <c:pt idx="4">
                  <c:v>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E9-4FFB-965E-7D34DA64E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2834696"/>
        <c:axId val="1302840840"/>
      </c:barChart>
      <c:catAx>
        <c:axId val="1302834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840840"/>
        <c:crosses val="autoZero"/>
        <c:auto val="1"/>
        <c:lblAlgn val="ctr"/>
        <c:lblOffset val="100"/>
        <c:noMultiLvlLbl val="0"/>
      </c:catAx>
      <c:valAx>
        <c:axId val="1302840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834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Bottom 5 Performers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Dashboard!$D$16</c:f>
              <c:strCache>
                <c:ptCount val="1"/>
                <c:pt idx="0">
                  <c:v>Total Marks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BF8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F8D-4BF9-B133-56CB00A6AB83}"/>
              </c:ext>
            </c:extLst>
          </c:dPt>
          <c:dPt>
            <c:idx val="3"/>
            <c:invertIfNegative val="0"/>
            <c:bubble3D val="0"/>
            <c:spPr>
              <a:solidFill>
                <a:srgbClr val="BF8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F8D-4BF9-B133-56CB00A6AB83}"/>
              </c:ext>
            </c:extLst>
          </c:dPt>
          <c:cat>
            <c:multiLvlStrRef>
              <c:f>Dashboard!$A$17:$C$21</c:f>
              <c:multiLvlStrCache>
                <c:ptCount val="5"/>
                <c:lvl>
                  <c:pt idx="0">
                    <c:v>Chirag Desai</c:v>
                  </c:pt>
                  <c:pt idx="1">
                    <c:v>Jagat Singh</c:v>
                  </c:pt>
                  <c:pt idx="2">
                    <c:v>Kabir Ahmed</c:v>
                  </c:pt>
                  <c:pt idx="3">
                    <c:v>Megha Singh</c:v>
                  </c:pt>
                  <c:pt idx="4">
                    <c:v>Pankaj Patel</c:v>
                  </c:pt>
                </c:lvl>
                <c:lvl>
                  <c:pt idx="0">
                    <c:v>7</c:v>
                  </c:pt>
                  <c:pt idx="1">
                    <c:v>21</c:v>
                  </c:pt>
                  <c:pt idx="2">
                    <c:v>26</c:v>
                  </c:pt>
                  <c:pt idx="3">
                    <c:v>41</c:v>
                  </c:pt>
                  <c:pt idx="4">
                    <c:v>60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</c:multiLvlStrCache>
            </c:multiLvlStrRef>
          </c:cat>
          <c:val>
            <c:numRef>
              <c:f>Dashboard!$D$17:$D$21</c:f>
              <c:numCache>
                <c:formatCode>General</c:formatCode>
                <c:ptCount val="5"/>
                <c:pt idx="0">
                  <c:v>433</c:v>
                </c:pt>
                <c:pt idx="1">
                  <c:v>443</c:v>
                </c:pt>
                <c:pt idx="2">
                  <c:v>450</c:v>
                </c:pt>
                <c:pt idx="3">
                  <c:v>450</c:v>
                </c:pt>
                <c:pt idx="4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78-4E70-9806-2B08B1A89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0199816"/>
        <c:axId val="2110201864"/>
      </c:barChart>
      <c:catAx>
        <c:axId val="2110199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201864"/>
        <c:crosses val="autoZero"/>
        <c:auto val="1"/>
        <c:lblAlgn val="ctr"/>
        <c:lblOffset val="100"/>
        <c:noMultiLvlLbl val="0"/>
      </c:catAx>
      <c:valAx>
        <c:axId val="2110201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199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1</xdr:row>
      <xdr:rowOff>133350</xdr:rowOff>
    </xdr:from>
    <xdr:to>
      <xdr:col>6</xdr:col>
      <xdr:colOff>485775</xdr:colOff>
      <xdr:row>16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6622F0-DFAB-BDE9-95EF-B810263822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0</xdr:rowOff>
    </xdr:from>
    <xdr:to>
      <xdr:col>11</xdr:col>
      <xdr:colOff>342900</xdr:colOff>
      <xdr:row>13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763B53-A936-418B-8265-5C6664A7F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352425</xdr:colOff>
      <xdr:row>0</xdr:row>
      <xdr:rowOff>0</xdr:rowOff>
    </xdr:from>
    <xdr:to>
      <xdr:col>19</xdr:col>
      <xdr:colOff>47625</xdr:colOff>
      <xdr:row>13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C59159-3EA4-4C54-8E40-1DF4D79C2736}"/>
            </a:ext>
            <a:ext uri="{147F2762-F138-4A5C-976F-8EAC2B608ADB}">
              <a16:predDERef xmlns:a16="http://schemas.microsoft.com/office/drawing/2014/main" pred="{65763B53-A936-418B-8265-5C6664A7F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104775</xdr:rowOff>
    </xdr:from>
    <xdr:to>
      <xdr:col>2</xdr:col>
      <xdr:colOff>733425</xdr:colOff>
      <xdr:row>35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1A76E2-E4C1-2677-3E0A-CBD6B942A9B9}"/>
            </a:ext>
            <a:ext uri="{147F2762-F138-4A5C-976F-8EAC2B608ADB}">
              <a16:predDERef xmlns:a16="http://schemas.microsoft.com/office/drawing/2014/main" pred="{54C59159-3EA4-4C54-8E40-1DF4D79C27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857250</xdr:colOff>
      <xdr:row>21</xdr:row>
      <xdr:rowOff>76200</xdr:rowOff>
    </xdr:from>
    <xdr:to>
      <xdr:col>7</xdr:col>
      <xdr:colOff>238125</xdr:colOff>
      <xdr:row>35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BC12236-10D7-2921-42DA-D61451A9867E}"/>
            </a:ext>
            <a:ext uri="{147F2762-F138-4A5C-976F-8EAC2B608ADB}">
              <a16:predDERef xmlns:a16="http://schemas.microsoft.com/office/drawing/2014/main" pred="{7E1A76E2-E4C1-2677-3E0A-CBD6B942A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92CC3-5F37-4959-B3E8-0818C2EC8EF7}">
  <dimension ref="A1:L151"/>
  <sheetViews>
    <sheetView workbookViewId="0">
      <selection activeCell="K1" sqref="K1"/>
    </sheetView>
  </sheetViews>
  <sheetFormatPr defaultRowHeight="15"/>
  <cols>
    <col min="1" max="1" width="9.140625" style="1"/>
    <col min="2" max="2" width="14" style="2" bestFit="1" customWidth="1"/>
    <col min="3" max="3" width="12.28515625" style="2" bestFit="1" customWidth="1"/>
    <col min="4" max="4" width="9.140625" style="2"/>
    <col min="6" max="6" width="13.28515625" bestFit="1" customWidth="1"/>
    <col min="7" max="7" width="9.5703125" bestFit="1" customWidth="1"/>
    <col min="9" max="9" width="11.7109375" bestFit="1" customWidth="1"/>
    <col min="10" max="11" width="10.7109375" bestFit="1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6" t="s">
        <v>10</v>
      </c>
      <c r="L1" s="6"/>
    </row>
    <row r="2" spans="1:12">
      <c r="A2" s="1">
        <v>1</v>
      </c>
      <c r="B2" s="2" t="s">
        <v>11</v>
      </c>
      <c r="C2" s="2">
        <v>85</v>
      </c>
      <c r="D2" s="2">
        <v>78</v>
      </c>
      <c r="E2">
        <v>82</v>
      </c>
      <c r="F2">
        <v>75</v>
      </c>
      <c r="G2">
        <v>88</v>
      </c>
      <c r="H2">
        <v>80</v>
      </c>
      <c r="I2">
        <v>488</v>
      </c>
      <c r="J2" s="4">
        <f>I2/600*100</f>
        <v>81.333333333333329</v>
      </c>
      <c r="K2" s="5">
        <f>I2+(ROW()/100000)</f>
        <v>488.00002000000001</v>
      </c>
      <c r="L2" s="6"/>
    </row>
    <row r="3" spans="1:12">
      <c r="A3" s="1">
        <v>2</v>
      </c>
      <c r="B3" s="2" t="s">
        <v>12</v>
      </c>
      <c r="C3" s="2">
        <v>92</v>
      </c>
      <c r="D3" s="2">
        <v>85</v>
      </c>
      <c r="E3">
        <v>89</v>
      </c>
      <c r="F3">
        <v>88</v>
      </c>
      <c r="G3">
        <v>90</v>
      </c>
      <c r="H3">
        <v>87</v>
      </c>
      <c r="I3">
        <v>531</v>
      </c>
      <c r="J3" s="4">
        <f t="shared" ref="J3:J66" si="0">I3/600*100</f>
        <v>88.5</v>
      </c>
      <c r="K3" s="5">
        <f t="shared" ref="K3:K66" si="1">I3+(ROW()/100000)</f>
        <v>531.00003000000004</v>
      </c>
      <c r="L3" s="6"/>
    </row>
    <row r="4" spans="1:12">
      <c r="A4" s="1">
        <v>3</v>
      </c>
      <c r="B4" s="2" t="s">
        <v>13</v>
      </c>
      <c r="C4" s="2">
        <v>75</v>
      </c>
      <c r="D4" s="2">
        <v>72</v>
      </c>
      <c r="E4">
        <v>78</v>
      </c>
      <c r="F4">
        <v>70</v>
      </c>
      <c r="G4">
        <v>80</v>
      </c>
      <c r="H4">
        <v>76</v>
      </c>
      <c r="I4">
        <v>451</v>
      </c>
      <c r="J4" s="4">
        <f t="shared" si="0"/>
        <v>75.166666666666671</v>
      </c>
      <c r="K4" s="5">
        <f t="shared" si="1"/>
        <v>451.00004000000001</v>
      </c>
    </row>
    <row r="5" spans="1:12">
      <c r="A5" s="1">
        <v>4</v>
      </c>
      <c r="B5" s="2" t="s">
        <v>14</v>
      </c>
      <c r="C5" s="2">
        <v>88</v>
      </c>
      <c r="D5" s="2">
        <v>82</v>
      </c>
      <c r="E5">
        <v>85</v>
      </c>
      <c r="F5">
        <v>80</v>
      </c>
      <c r="G5">
        <v>86</v>
      </c>
      <c r="H5">
        <v>84</v>
      </c>
      <c r="I5">
        <v>505</v>
      </c>
      <c r="J5" s="4">
        <f t="shared" si="0"/>
        <v>84.166666666666671</v>
      </c>
      <c r="K5" s="5">
        <f t="shared" si="1"/>
        <v>505.00004999999999</v>
      </c>
    </row>
    <row r="6" spans="1:12">
      <c r="A6" s="1">
        <v>5</v>
      </c>
      <c r="B6" s="2" t="s">
        <v>15</v>
      </c>
      <c r="C6" s="2">
        <v>78</v>
      </c>
      <c r="D6" s="2">
        <v>76</v>
      </c>
      <c r="E6">
        <v>80</v>
      </c>
      <c r="F6">
        <v>75</v>
      </c>
      <c r="G6">
        <v>82</v>
      </c>
      <c r="H6">
        <v>78</v>
      </c>
      <c r="I6">
        <v>469</v>
      </c>
      <c r="J6" s="4">
        <f t="shared" si="0"/>
        <v>78.166666666666657</v>
      </c>
      <c r="K6" s="5">
        <f t="shared" si="1"/>
        <v>469.00006000000002</v>
      </c>
    </row>
    <row r="7" spans="1:12">
      <c r="A7" s="1">
        <v>6</v>
      </c>
      <c r="B7" s="2" t="s">
        <v>16</v>
      </c>
      <c r="C7" s="2">
        <v>95</v>
      </c>
      <c r="D7" s="2">
        <v>90</v>
      </c>
      <c r="E7">
        <v>92</v>
      </c>
      <c r="F7">
        <v>88</v>
      </c>
      <c r="G7">
        <v>94</v>
      </c>
      <c r="H7">
        <v>91</v>
      </c>
      <c r="I7">
        <v>550</v>
      </c>
      <c r="J7" s="4">
        <f t="shared" si="0"/>
        <v>91.666666666666657</v>
      </c>
      <c r="K7">
        <f t="shared" si="1"/>
        <v>550.00007000000005</v>
      </c>
    </row>
    <row r="8" spans="1:12">
      <c r="A8" s="1">
        <v>7</v>
      </c>
      <c r="B8" s="2" t="s">
        <v>17</v>
      </c>
      <c r="C8" s="2">
        <v>72</v>
      </c>
      <c r="D8" s="2">
        <v>70</v>
      </c>
      <c r="E8">
        <v>75</v>
      </c>
      <c r="F8">
        <v>68</v>
      </c>
      <c r="G8">
        <v>76</v>
      </c>
      <c r="H8">
        <v>72</v>
      </c>
      <c r="I8">
        <v>433</v>
      </c>
      <c r="J8" s="4">
        <f t="shared" si="0"/>
        <v>72.166666666666671</v>
      </c>
      <c r="K8">
        <f t="shared" si="1"/>
        <v>433.00008000000003</v>
      </c>
    </row>
    <row r="9" spans="1:12">
      <c r="A9" s="1">
        <v>8</v>
      </c>
      <c r="B9" s="2" t="s">
        <v>18</v>
      </c>
      <c r="C9" s="2">
        <v>86</v>
      </c>
      <c r="D9" s="2">
        <v>84</v>
      </c>
      <c r="E9">
        <v>88</v>
      </c>
      <c r="F9">
        <v>82</v>
      </c>
      <c r="G9">
        <v>87</v>
      </c>
      <c r="H9">
        <v>85</v>
      </c>
      <c r="I9">
        <v>512</v>
      </c>
      <c r="J9" s="4">
        <f t="shared" si="0"/>
        <v>85.333333333333343</v>
      </c>
      <c r="K9">
        <f t="shared" si="1"/>
        <v>512.00009</v>
      </c>
    </row>
    <row r="10" spans="1:12">
      <c r="A10" s="1">
        <v>9</v>
      </c>
      <c r="B10" s="2" t="s">
        <v>19</v>
      </c>
      <c r="C10" s="2">
        <v>80</v>
      </c>
      <c r="D10" s="2">
        <v>78</v>
      </c>
      <c r="E10">
        <v>82</v>
      </c>
      <c r="F10">
        <v>76</v>
      </c>
      <c r="G10">
        <v>84</v>
      </c>
      <c r="H10">
        <v>80</v>
      </c>
      <c r="I10">
        <v>480</v>
      </c>
      <c r="J10" s="4">
        <f t="shared" si="0"/>
        <v>80</v>
      </c>
      <c r="K10">
        <f t="shared" si="1"/>
        <v>480.00009999999997</v>
      </c>
    </row>
    <row r="11" spans="1:12">
      <c r="A11" s="1">
        <v>10</v>
      </c>
      <c r="B11" s="2" t="s">
        <v>20</v>
      </c>
      <c r="C11" s="2">
        <v>91</v>
      </c>
      <c r="D11" s="2">
        <v>88</v>
      </c>
      <c r="E11">
        <v>90</v>
      </c>
      <c r="F11">
        <v>86</v>
      </c>
      <c r="G11">
        <v>92</v>
      </c>
      <c r="H11">
        <v>89</v>
      </c>
      <c r="I11">
        <v>536</v>
      </c>
      <c r="J11" s="4">
        <f t="shared" si="0"/>
        <v>89.333333333333329</v>
      </c>
      <c r="K11">
        <f t="shared" si="1"/>
        <v>536.00010999999995</v>
      </c>
    </row>
    <row r="12" spans="1:12">
      <c r="A12" s="1">
        <v>11</v>
      </c>
      <c r="B12" s="2" t="s">
        <v>21</v>
      </c>
      <c r="C12" s="2">
        <v>76</v>
      </c>
      <c r="D12" s="2">
        <v>74</v>
      </c>
      <c r="E12">
        <v>78</v>
      </c>
      <c r="F12">
        <v>72</v>
      </c>
      <c r="G12">
        <v>80</v>
      </c>
      <c r="H12">
        <v>75</v>
      </c>
      <c r="I12">
        <v>455</v>
      </c>
      <c r="J12" s="4">
        <f t="shared" si="0"/>
        <v>75.833333333333329</v>
      </c>
      <c r="K12">
        <f t="shared" si="1"/>
        <v>455.00011999999998</v>
      </c>
    </row>
    <row r="13" spans="1:12">
      <c r="A13" s="1">
        <v>12</v>
      </c>
      <c r="B13" s="2" t="s">
        <v>22</v>
      </c>
      <c r="C13" s="2">
        <v>89</v>
      </c>
      <c r="D13" s="2">
        <v>86</v>
      </c>
      <c r="E13">
        <v>88</v>
      </c>
      <c r="F13">
        <v>84</v>
      </c>
      <c r="G13">
        <v>90</v>
      </c>
      <c r="H13">
        <v>87</v>
      </c>
      <c r="I13">
        <v>524</v>
      </c>
      <c r="J13" s="4">
        <f t="shared" si="0"/>
        <v>87.333333333333329</v>
      </c>
      <c r="K13">
        <f t="shared" si="1"/>
        <v>524.00013000000001</v>
      </c>
    </row>
    <row r="14" spans="1:12">
      <c r="A14" s="1">
        <v>13</v>
      </c>
      <c r="B14" s="2" t="s">
        <v>23</v>
      </c>
      <c r="C14" s="2">
        <v>82</v>
      </c>
      <c r="D14" s="2">
        <v>80</v>
      </c>
      <c r="E14">
        <v>84</v>
      </c>
      <c r="F14">
        <v>78</v>
      </c>
      <c r="G14">
        <v>85</v>
      </c>
      <c r="H14">
        <v>82</v>
      </c>
      <c r="I14">
        <v>491</v>
      </c>
      <c r="J14" s="4">
        <f t="shared" si="0"/>
        <v>81.833333333333343</v>
      </c>
      <c r="K14">
        <f t="shared" si="1"/>
        <v>491.00013999999999</v>
      </c>
    </row>
    <row r="15" spans="1:12">
      <c r="A15" s="1">
        <v>14</v>
      </c>
      <c r="B15" s="2" t="s">
        <v>24</v>
      </c>
      <c r="C15" s="2">
        <v>77</v>
      </c>
      <c r="D15" s="2">
        <v>75</v>
      </c>
      <c r="E15">
        <v>79</v>
      </c>
      <c r="F15">
        <v>73</v>
      </c>
      <c r="G15">
        <v>81</v>
      </c>
      <c r="H15">
        <v>77</v>
      </c>
      <c r="I15">
        <v>462</v>
      </c>
      <c r="J15" s="4">
        <f t="shared" si="0"/>
        <v>77</v>
      </c>
      <c r="K15">
        <f t="shared" si="1"/>
        <v>462.00015000000002</v>
      </c>
    </row>
    <row r="16" spans="1:12">
      <c r="A16" s="1">
        <v>15</v>
      </c>
      <c r="B16" s="2" t="s">
        <v>25</v>
      </c>
      <c r="C16" s="2">
        <v>93</v>
      </c>
      <c r="D16" s="2">
        <v>89</v>
      </c>
      <c r="E16">
        <v>91</v>
      </c>
      <c r="F16">
        <v>87</v>
      </c>
      <c r="G16">
        <v>95</v>
      </c>
      <c r="H16">
        <v>90</v>
      </c>
      <c r="I16">
        <v>545</v>
      </c>
      <c r="J16" s="4">
        <f t="shared" si="0"/>
        <v>90.833333333333329</v>
      </c>
      <c r="K16">
        <f t="shared" si="1"/>
        <v>545.00016000000005</v>
      </c>
    </row>
    <row r="17" spans="1:11">
      <c r="A17" s="1">
        <v>16</v>
      </c>
      <c r="B17" s="2" t="s">
        <v>26</v>
      </c>
      <c r="C17" s="2">
        <v>84</v>
      </c>
      <c r="D17" s="2">
        <v>82</v>
      </c>
      <c r="E17">
        <v>86</v>
      </c>
      <c r="F17">
        <v>80</v>
      </c>
      <c r="G17">
        <v>88</v>
      </c>
      <c r="H17">
        <v>85</v>
      </c>
      <c r="I17">
        <v>505</v>
      </c>
      <c r="J17" s="4">
        <f t="shared" si="0"/>
        <v>84.166666666666671</v>
      </c>
      <c r="K17">
        <f t="shared" si="1"/>
        <v>505.00017000000003</v>
      </c>
    </row>
    <row r="18" spans="1:11">
      <c r="A18" s="1">
        <v>17</v>
      </c>
      <c r="B18" s="2" t="s">
        <v>27</v>
      </c>
      <c r="C18" s="2">
        <v>79</v>
      </c>
      <c r="D18" s="2">
        <v>77</v>
      </c>
      <c r="E18">
        <v>81</v>
      </c>
      <c r="F18">
        <v>75</v>
      </c>
      <c r="G18">
        <v>83</v>
      </c>
      <c r="H18">
        <v>79</v>
      </c>
      <c r="I18">
        <v>474</v>
      </c>
      <c r="J18" s="4">
        <f t="shared" si="0"/>
        <v>79</v>
      </c>
      <c r="K18">
        <f t="shared" si="1"/>
        <v>474.00018</v>
      </c>
    </row>
    <row r="19" spans="1:11">
      <c r="A19" s="1">
        <v>18</v>
      </c>
      <c r="B19" s="2" t="s">
        <v>28</v>
      </c>
      <c r="C19" s="2">
        <v>90</v>
      </c>
      <c r="D19" s="2">
        <v>87</v>
      </c>
      <c r="E19">
        <v>89</v>
      </c>
      <c r="F19">
        <v>85</v>
      </c>
      <c r="G19">
        <v>91</v>
      </c>
      <c r="H19">
        <v>88</v>
      </c>
      <c r="I19">
        <v>530</v>
      </c>
      <c r="J19" s="4">
        <f t="shared" si="0"/>
        <v>88.333333333333329</v>
      </c>
      <c r="K19">
        <f t="shared" si="1"/>
        <v>530.00018999999998</v>
      </c>
    </row>
    <row r="20" spans="1:11">
      <c r="A20" s="1">
        <v>19</v>
      </c>
      <c r="B20" s="2" t="s">
        <v>29</v>
      </c>
      <c r="C20" s="2">
        <v>81</v>
      </c>
      <c r="D20" s="2">
        <v>79</v>
      </c>
      <c r="E20">
        <v>83</v>
      </c>
      <c r="F20">
        <v>77</v>
      </c>
      <c r="G20">
        <v>85</v>
      </c>
      <c r="H20">
        <v>81</v>
      </c>
      <c r="I20">
        <v>486</v>
      </c>
      <c r="J20" s="4">
        <f t="shared" si="0"/>
        <v>81</v>
      </c>
      <c r="K20">
        <f t="shared" si="1"/>
        <v>486.00020000000001</v>
      </c>
    </row>
    <row r="21" spans="1:11">
      <c r="A21" s="1">
        <v>20</v>
      </c>
      <c r="B21" s="2" t="s">
        <v>30</v>
      </c>
      <c r="C21" s="2">
        <v>86</v>
      </c>
      <c r="D21" s="2">
        <v>84</v>
      </c>
      <c r="E21">
        <v>87</v>
      </c>
      <c r="F21">
        <v>81</v>
      </c>
      <c r="G21">
        <v>89</v>
      </c>
      <c r="H21">
        <v>85</v>
      </c>
      <c r="I21">
        <v>512</v>
      </c>
      <c r="J21" s="4">
        <f t="shared" si="0"/>
        <v>85.333333333333343</v>
      </c>
      <c r="K21">
        <f t="shared" si="1"/>
        <v>512.00021000000004</v>
      </c>
    </row>
    <row r="22" spans="1:11">
      <c r="A22" s="1">
        <v>21</v>
      </c>
      <c r="B22" s="2" t="s">
        <v>31</v>
      </c>
      <c r="C22" s="2">
        <v>74</v>
      </c>
      <c r="D22" s="2">
        <v>72</v>
      </c>
      <c r="E22">
        <v>76</v>
      </c>
      <c r="F22">
        <v>70</v>
      </c>
      <c r="G22">
        <v>78</v>
      </c>
      <c r="H22">
        <v>73</v>
      </c>
      <c r="I22">
        <v>443</v>
      </c>
      <c r="J22" s="4">
        <f t="shared" si="0"/>
        <v>73.833333333333329</v>
      </c>
      <c r="K22">
        <f t="shared" si="1"/>
        <v>443.00022000000001</v>
      </c>
    </row>
    <row r="23" spans="1:11">
      <c r="A23" s="1">
        <v>22</v>
      </c>
      <c r="B23" s="2" t="s">
        <v>32</v>
      </c>
      <c r="C23" s="2">
        <v>92</v>
      </c>
      <c r="D23" s="2">
        <v>89</v>
      </c>
      <c r="E23">
        <v>91</v>
      </c>
      <c r="F23">
        <v>87</v>
      </c>
      <c r="G23">
        <v>93</v>
      </c>
      <c r="H23">
        <v>90</v>
      </c>
      <c r="I23">
        <v>542</v>
      </c>
      <c r="J23" s="4">
        <f t="shared" si="0"/>
        <v>90.333333333333329</v>
      </c>
      <c r="K23">
        <f t="shared" si="1"/>
        <v>542.00022999999999</v>
      </c>
    </row>
    <row r="24" spans="1:11">
      <c r="A24" s="1">
        <v>23</v>
      </c>
      <c r="B24" s="2" t="s">
        <v>33</v>
      </c>
      <c r="C24" s="2">
        <v>83</v>
      </c>
      <c r="D24" s="2">
        <v>81</v>
      </c>
      <c r="E24">
        <v>85</v>
      </c>
      <c r="F24">
        <v>79</v>
      </c>
      <c r="G24">
        <v>86</v>
      </c>
      <c r="H24">
        <v>83</v>
      </c>
      <c r="I24">
        <v>497</v>
      </c>
      <c r="J24" s="4">
        <f t="shared" si="0"/>
        <v>82.833333333333343</v>
      </c>
      <c r="K24">
        <f t="shared" si="1"/>
        <v>497.00024000000002</v>
      </c>
    </row>
    <row r="25" spans="1:11">
      <c r="A25" s="1">
        <v>24</v>
      </c>
      <c r="B25" s="2" t="s">
        <v>34</v>
      </c>
      <c r="C25" s="2">
        <v>78</v>
      </c>
      <c r="D25" s="2">
        <v>76</v>
      </c>
      <c r="E25">
        <v>80</v>
      </c>
      <c r="F25">
        <v>74</v>
      </c>
      <c r="G25">
        <v>82</v>
      </c>
      <c r="H25">
        <v>78</v>
      </c>
      <c r="I25">
        <v>468</v>
      </c>
      <c r="J25" s="4">
        <f t="shared" si="0"/>
        <v>78</v>
      </c>
      <c r="K25">
        <f t="shared" si="1"/>
        <v>468.00024999999999</v>
      </c>
    </row>
    <row r="26" spans="1:11">
      <c r="A26" s="1">
        <v>25</v>
      </c>
      <c r="B26" s="2" t="s">
        <v>35</v>
      </c>
      <c r="C26" s="2">
        <v>88</v>
      </c>
      <c r="D26" s="2">
        <v>86</v>
      </c>
      <c r="E26">
        <v>89</v>
      </c>
      <c r="F26">
        <v>85</v>
      </c>
      <c r="G26">
        <v>90</v>
      </c>
      <c r="H26">
        <v>87</v>
      </c>
      <c r="I26">
        <v>525</v>
      </c>
      <c r="J26" s="4">
        <f t="shared" si="0"/>
        <v>87.5</v>
      </c>
      <c r="K26">
        <f t="shared" si="1"/>
        <v>525.00026000000003</v>
      </c>
    </row>
    <row r="27" spans="1:11">
      <c r="A27" s="1">
        <v>26</v>
      </c>
      <c r="B27" s="2" t="s">
        <v>36</v>
      </c>
      <c r="C27" s="2">
        <v>75</v>
      </c>
      <c r="D27" s="2">
        <v>73</v>
      </c>
      <c r="E27">
        <v>77</v>
      </c>
      <c r="F27">
        <v>71</v>
      </c>
      <c r="G27">
        <v>79</v>
      </c>
      <c r="H27">
        <v>75</v>
      </c>
      <c r="I27">
        <v>450</v>
      </c>
      <c r="J27" s="4">
        <f t="shared" si="0"/>
        <v>75</v>
      </c>
      <c r="K27">
        <f t="shared" si="1"/>
        <v>450.00027</v>
      </c>
    </row>
    <row r="28" spans="1:11">
      <c r="A28" s="1">
        <v>27</v>
      </c>
      <c r="B28" s="2" t="s">
        <v>37</v>
      </c>
      <c r="C28" s="2">
        <v>94</v>
      </c>
      <c r="D28" s="2">
        <v>91</v>
      </c>
      <c r="E28">
        <v>93</v>
      </c>
      <c r="F28">
        <v>89</v>
      </c>
      <c r="G28">
        <v>95</v>
      </c>
      <c r="H28">
        <v>92</v>
      </c>
      <c r="I28">
        <v>554</v>
      </c>
      <c r="J28" s="4">
        <f t="shared" si="0"/>
        <v>92.333333333333329</v>
      </c>
      <c r="K28">
        <f t="shared" si="1"/>
        <v>554.00027999999998</v>
      </c>
    </row>
    <row r="29" spans="1:11">
      <c r="A29" s="1">
        <v>28</v>
      </c>
      <c r="B29" s="2" t="s">
        <v>38</v>
      </c>
      <c r="C29" s="2">
        <v>81</v>
      </c>
      <c r="D29" s="2">
        <v>79</v>
      </c>
      <c r="E29">
        <v>83</v>
      </c>
      <c r="F29">
        <v>77</v>
      </c>
      <c r="G29">
        <v>85</v>
      </c>
      <c r="H29">
        <v>81</v>
      </c>
      <c r="I29">
        <v>486</v>
      </c>
      <c r="J29" s="4">
        <f t="shared" si="0"/>
        <v>81</v>
      </c>
      <c r="K29">
        <f t="shared" si="1"/>
        <v>486.00029000000001</v>
      </c>
    </row>
    <row r="30" spans="1:11">
      <c r="A30" s="1">
        <v>29</v>
      </c>
      <c r="B30" s="2" t="s">
        <v>39</v>
      </c>
      <c r="C30" s="2">
        <v>87</v>
      </c>
      <c r="D30" s="2">
        <v>85</v>
      </c>
      <c r="E30">
        <v>88</v>
      </c>
      <c r="F30">
        <v>84</v>
      </c>
      <c r="G30">
        <v>89</v>
      </c>
      <c r="H30">
        <v>86</v>
      </c>
      <c r="I30">
        <v>519</v>
      </c>
      <c r="J30" s="4">
        <f t="shared" si="0"/>
        <v>86.5</v>
      </c>
      <c r="K30">
        <f t="shared" si="1"/>
        <v>519.00030000000004</v>
      </c>
    </row>
    <row r="31" spans="1:11">
      <c r="A31" s="1">
        <v>30</v>
      </c>
      <c r="B31" s="2" t="s">
        <v>40</v>
      </c>
      <c r="C31" s="2">
        <v>76</v>
      </c>
      <c r="D31" s="2">
        <v>74</v>
      </c>
      <c r="E31">
        <v>78</v>
      </c>
      <c r="F31">
        <v>72</v>
      </c>
      <c r="G31">
        <v>80</v>
      </c>
      <c r="H31">
        <v>76</v>
      </c>
      <c r="I31">
        <v>456</v>
      </c>
      <c r="J31" s="4">
        <f t="shared" si="0"/>
        <v>76</v>
      </c>
      <c r="K31">
        <f t="shared" si="1"/>
        <v>456.00031000000001</v>
      </c>
    </row>
    <row r="32" spans="1:11">
      <c r="A32" s="1">
        <v>31</v>
      </c>
      <c r="B32" s="2" t="s">
        <v>41</v>
      </c>
      <c r="C32" s="2">
        <v>89</v>
      </c>
      <c r="D32" s="2">
        <v>87</v>
      </c>
      <c r="E32">
        <v>90</v>
      </c>
      <c r="F32">
        <v>86</v>
      </c>
      <c r="G32">
        <v>91</v>
      </c>
      <c r="H32">
        <v>88</v>
      </c>
      <c r="I32">
        <v>531</v>
      </c>
      <c r="J32" s="4">
        <f t="shared" si="0"/>
        <v>88.5</v>
      </c>
      <c r="K32">
        <f t="shared" si="1"/>
        <v>531.00031999999999</v>
      </c>
    </row>
    <row r="33" spans="1:11">
      <c r="A33" s="1">
        <v>32</v>
      </c>
      <c r="B33" s="2" t="s">
        <v>42</v>
      </c>
      <c r="C33" s="2">
        <v>80</v>
      </c>
      <c r="D33" s="2">
        <v>78</v>
      </c>
      <c r="E33">
        <v>82</v>
      </c>
      <c r="F33">
        <v>76</v>
      </c>
      <c r="G33">
        <v>84</v>
      </c>
      <c r="H33">
        <v>80</v>
      </c>
      <c r="I33">
        <v>480</v>
      </c>
      <c r="J33" s="4">
        <f t="shared" si="0"/>
        <v>80</v>
      </c>
      <c r="K33">
        <f t="shared" si="1"/>
        <v>480.00033000000002</v>
      </c>
    </row>
    <row r="34" spans="1:11">
      <c r="A34" s="1">
        <v>33</v>
      </c>
      <c r="B34" s="2" t="s">
        <v>43</v>
      </c>
      <c r="C34" s="2">
        <v>85</v>
      </c>
      <c r="D34" s="2">
        <v>83</v>
      </c>
      <c r="E34">
        <v>86</v>
      </c>
      <c r="F34">
        <v>82</v>
      </c>
      <c r="G34">
        <v>88</v>
      </c>
      <c r="H34">
        <v>84</v>
      </c>
      <c r="I34">
        <v>508</v>
      </c>
      <c r="J34" s="4">
        <f t="shared" si="0"/>
        <v>84.666666666666671</v>
      </c>
      <c r="K34">
        <f t="shared" si="1"/>
        <v>508.00033999999999</v>
      </c>
    </row>
    <row r="35" spans="1:11">
      <c r="A35" s="1">
        <v>34</v>
      </c>
      <c r="B35" s="2" t="s">
        <v>44</v>
      </c>
      <c r="C35" s="2">
        <v>77</v>
      </c>
      <c r="D35" s="2">
        <v>75</v>
      </c>
      <c r="E35">
        <v>79</v>
      </c>
      <c r="F35">
        <v>73</v>
      </c>
      <c r="G35">
        <v>81</v>
      </c>
      <c r="H35">
        <v>77</v>
      </c>
      <c r="I35">
        <v>462</v>
      </c>
      <c r="J35" s="4">
        <f t="shared" si="0"/>
        <v>77</v>
      </c>
      <c r="K35">
        <f t="shared" si="1"/>
        <v>462.00035000000003</v>
      </c>
    </row>
    <row r="36" spans="1:11">
      <c r="A36" s="1">
        <v>35</v>
      </c>
      <c r="B36" s="2" t="s">
        <v>45</v>
      </c>
      <c r="C36" s="2">
        <v>91</v>
      </c>
      <c r="D36" s="2">
        <v>88</v>
      </c>
      <c r="E36">
        <v>90</v>
      </c>
      <c r="F36">
        <v>86</v>
      </c>
      <c r="G36">
        <v>92</v>
      </c>
      <c r="H36">
        <v>89</v>
      </c>
      <c r="I36">
        <v>536</v>
      </c>
      <c r="J36" s="4">
        <f t="shared" si="0"/>
        <v>89.333333333333329</v>
      </c>
      <c r="K36">
        <f t="shared" si="1"/>
        <v>536.00036</v>
      </c>
    </row>
    <row r="37" spans="1:11">
      <c r="A37" s="1">
        <v>36</v>
      </c>
      <c r="B37" s="2" t="s">
        <v>46</v>
      </c>
      <c r="C37" s="2">
        <v>82</v>
      </c>
      <c r="D37" s="2">
        <v>80</v>
      </c>
      <c r="E37">
        <v>84</v>
      </c>
      <c r="F37">
        <v>78</v>
      </c>
      <c r="G37">
        <v>85</v>
      </c>
      <c r="H37">
        <v>82</v>
      </c>
      <c r="I37">
        <v>491</v>
      </c>
      <c r="J37" s="4">
        <f t="shared" si="0"/>
        <v>81.833333333333343</v>
      </c>
      <c r="K37">
        <f t="shared" si="1"/>
        <v>491.00036999999998</v>
      </c>
    </row>
    <row r="38" spans="1:11">
      <c r="A38" s="1">
        <v>37</v>
      </c>
      <c r="B38" s="2" t="s">
        <v>47</v>
      </c>
      <c r="C38" s="2">
        <v>79</v>
      </c>
      <c r="D38" s="2">
        <v>77</v>
      </c>
      <c r="E38">
        <v>81</v>
      </c>
      <c r="F38">
        <v>75</v>
      </c>
      <c r="G38">
        <v>83</v>
      </c>
      <c r="H38">
        <v>79</v>
      </c>
      <c r="I38">
        <v>474</v>
      </c>
      <c r="J38" s="4">
        <f t="shared" si="0"/>
        <v>79</v>
      </c>
      <c r="K38">
        <f t="shared" si="1"/>
        <v>474.00038000000001</v>
      </c>
    </row>
    <row r="39" spans="1:11">
      <c r="A39" s="1">
        <v>38</v>
      </c>
      <c r="B39" s="2" t="s">
        <v>48</v>
      </c>
      <c r="C39" s="2">
        <v>93</v>
      </c>
      <c r="D39" s="2">
        <v>90</v>
      </c>
      <c r="E39">
        <v>92</v>
      </c>
      <c r="F39">
        <v>88</v>
      </c>
      <c r="G39">
        <v>94</v>
      </c>
      <c r="H39">
        <v>91</v>
      </c>
      <c r="I39">
        <v>548</v>
      </c>
      <c r="J39" s="4">
        <f t="shared" si="0"/>
        <v>91.333333333333329</v>
      </c>
      <c r="K39">
        <f t="shared" si="1"/>
        <v>548.00039000000004</v>
      </c>
    </row>
    <row r="40" spans="1:11">
      <c r="A40" s="1">
        <v>39</v>
      </c>
      <c r="B40" s="2" t="s">
        <v>49</v>
      </c>
      <c r="C40" s="2">
        <v>84</v>
      </c>
      <c r="D40" s="2">
        <v>82</v>
      </c>
      <c r="E40">
        <v>86</v>
      </c>
      <c r="F40">
        <v>80</v>
      </c>
      <c r="G40">
        <v>88</v>
      </c>
      <c r="H40">
        <v>85</v>
      </c>
      <c r="I40">
        <v>505</v>
      </c>
      <c r="J40" s="4">
        <f t="shared" si="0"/>
        <v>84.166666666666671</v>
      </c>
      <c r="K40">
        <f t="shared" si="1"/>
        <v>505.00040000000001</v>
      </c>
    </row>
    <row r="41" spans="1:11">
      <c r="A41" s="1">
        <v>40</v>
      </c>
      <c r="B41" s="2" t="s">
        <v>50</v>
      </c>
      <c r="C41" s="2">
        <v>86</v>
      </c>
      <c r="D41" s="2">
        <v>84</v>
      </c>
      <c r="E41">
        <v>87</v>
      </c>
      <c r="F41">
        <v>81</v>
      </c>
      <c r="G41">
        <v>89</v>
      </c>
      <c r="H41">
        <v>85</v>
      </c>
      <c r="I41">
        <v>512</v>
      </c>
      <c r="J41" s="4">
        <f t="shared" si="0"/>
        <v>85.333333333333343</v>
      </c>
      <c r="K41">
        <f t="shared" si="1"/>
        <v>512.00040999999999</v>
      </c>
    </row>
    <row r="42" spans="1:11">
      <c r="A42" s="1">
        <v>41</v>
      </c>
      <c r="B42" s="2" t="s">
        <v>51</v>
      </c>
      <c r="C42" s="2">
        <v>75</v>
      </c>
      <c r="D42" s="2">
        <v>73</v>
      </c>
      <c r="E42">
        <v>77</v>
      </c>
      <c r="F42">
        <v>71</v>
      </c>
      <c r="G42">
        <v>79</v>
      </c>
      <c r="H42">
        <v>75</v>
      </c>
      <c r="I42">
        <v>450</v>
      </c>
      <c r="J42" s="4">
        <f t="shared" si="0"/>
        <v>75</v>
      </c>
      <c r="K42">
        <f t="shared" si="1"/>
        <v>450.00042000000002</v>
      </c>
    </row>
    <row r="43" spans="1:11">
      <c r="A43" s="1">
        <v>42</v>
      </c>
      <c r="B43" s="2" t="s">
        <v>52</v>
      </c>
      <c r="C43" s="2">
        <v>92</v>
      </c>
      <c r="D43" s="2">
        <v>89</v>
      </c>
      <c r="E43">
        <v>91</v>
      </c>
      <c r="F43">
        <v>87</v>
      </c>
      <c r="G43">
        <v>93</v>
      </c>
      <c r="H43">
        <v>90</v>
      </c>
      <c r="I43">
        <v>542</v>
      </c>
      <c r="J43" s="4">
        <f t="shared" si="0"/>
        <v>90.333333333333329</v>
      </c>
      <c r="K43">
        <f t="shared" si="1"/>
        <v>542.00043000000005</v>
      </c>
    </row>
    <row r="44" spans="1:11">
      <c r="A44" s="1">
        <v>43</v>
      </c>
      <c r="B44" s="2" t="s">
        <v>53</v>
      </c>
      <c r="C44" s="2">
        <v>81</v>
      </c>
      <c r="D44" s="2">
        <v>79</v>
      </c>
      <c r="E44">
        <v>83</v>
      </c>
      <c r="F44">
        <v>77</v>
      </c>
      <c r="G44">
        <v>85</v>
      </c>
      <c r="H44">
        <v>81</v>
      </c>
      <c r="I44">
        <v>486</v>
      </c>
      <c r="J44" s="4">
        <f t="shared" si="0"/>
        <v>81</v>
      </c>
      <c r="K44">
        <f t="shared" si="1"/>
        <v>486.00044000000003</v>
      </c>
    </row>
    <row r="45" spans="1:11">
      <c r="A45" s="1">
        <v>44</v>
      </c>
      <c r="B45" s="2" t="s">
        <v>54</v>
      </c>
      <c r="C45" s="2">
        <v>88</v>
      </c>
      <c r="D45" s="2">
        <v>86</v>
      </c>
      <c r="E45">
        <v>89</v>
      </c>
      <c r="F45">
        <v>85</v>
      </c>
      <c r="G45">
        <v>90</v>
      </c>
      <c r="H45">
        <v>87</v>
      </c>
      <c r="I45">
        <v>525</v>
      </c>
      <c r="J45" s="4">
        <f t="shared" si="0"/>
        <v>87.5</v>
      </c>
      <c r="K45">
        <f t="shared" si="1"/>
        <v>525.00045</v>
      </c>
    </row>
    <row r="46" spans="1:11">
      <c r="A46" s="1">
        <v>45</v>
      </c>
      <c r="B46" s="2" t="s">
        <v>55</v>
      </c>
      <c r="C46" s="2">
        <v>76</v>
      </c>
      <c r="D46" s="2">
        <v>74</v>
      </c>
      <c r="E46">
        <v>78</v>
      </c>
      <c r="F46">
        <v>72</v>
      </c>
      <c r="G46">
        <v>80</v>
      </c>
      <c r="H46">
        <v>76</v>
      </c>
      <c r="I46">
        <v>456</v>
      </c>
      <c r="J46" s="4">
        <f t="shared" si="0"/>
        <v>76</v>
      </c>
      <c r="K46">
        <f t="shared" si="1"/>
        <v>456.00045999999998</v>
      </c>
    </row>
    <row r="47" spans="1:11">
      <c r="A47" s="1">
        <v>46</v>
      </c>
      <c r="B47" s="2" t="s">
        <v>56</v>
      </c>
      <c r="C47" s="2">
        <v>90</v>
      </c>
      <c r="D47" s="2">
        <v>87</v>
      </c>
      <c r="E47">
        <v>89</v>
      </c>
      <c r="F47">
        <v>85</v>
      </c>
      <c r="G47">
        <v>91</v>
      </c>
      <c r="H47">
        <v>88</v>
      </c>
      <c r="I47">
        <v>530</v>
      </c>
      <c r="J47" s="4">
        <f t="shared" si="0"/>
        <v>88.333333333333329</v>
      </c>
      <c r="K47">
        <f t="shared" si="1"/>
        <v>530.00046999999995</v>
      </c>
    </row>
    <row r="48" spans="1:11">
      <c r="A48" s="1">
        <v>47</v>
      </c>
      <c r="B48" s="2" t="s">
        <v>57</v>
      </c>
      <c r="C48" s="2">
        <v>82</v>
      </c>
      <c r="D48" s="2">
        <v>80</v>
      </c>
      <c r="E48">
        <v>84</v>
      </c>
      <c r="F48">
        <v>78</v>
      </c>
      <c r="G48">
        <v>85</v>
      </c>
      <c r="H48">
        <v>82</v>
      </c>
      <c r="I48">
        <v>491</v>
      </c>
      <c r="J48" s="4">
        <f t="shared" si="0"/>
        <v>81.833333333333343</v>
      </c>
      <c r="K48">
        <f t="shared" si="1"/>
        <v>491.00047999999998</v>
      </c>
    </row>
    <row r="49" spans="1:11">
      <c r="A49" s="1">
        <v>48</v>
      </c>
      <c r="B49" s="2" t="s">
        <v>58</v>
      </c>
      <c r="C49" s="2">
        <v>87</v>
      </c>
      <c r="D49" s="2">
        <v>85</v>
      </c>
      <c r="E49">
        <v>88</v>
      </c>
      <c r="F49">
        <v>84</v>
      </c>
      <c r="G49">
        <v>89</v>
      </c>
      <c r="H49">
        <v>86</v>
      </c>
      <c r="I49">
        <v>519</v>
      </c>
      <c r="J49" s="4">
        <f t="shared" si="0"/>
        <v>86.5</v>
      </c>
      <c r="K49">
        <f t="shared" si="1"/>
        <v>519.00049000000001</v>
      </c>
    </row>
    <row r="50" spans="1:11">
      <c r="A50" s="1">
        <v>49</v>
      </c>
      <c r="B50" s="2" t="s">
        <v>59</v>
      </c>
      <c r="C50" s="2">
        <v>78</v>
      </c>
      <c r="D50" s="2">
        <v>76</v>
      </c>
      <c r="E50">
        <v>80</v>
      </c>
      <c r="F50">
        <v>74</v>
      </c>
      <c r="G50">
        <v>82</v>
      </c>
      <c r="H50">
        <v>78</v>
      </c>
      <c r="I50">
        <v>468</v>
      </c>
      <c r="J50" s="4">
        <f t="shared" si="0"/>
        <v>78</v>
      </c>
      <c r="K50">
        <f t="shared" si="1"/>
        <v>468.00049999999999</v>
      </c>
    </row>
    <row r="51" spans="1:11">
      <c r="A51" s="1">
        <v>50</v>
      </c>
      <c r="B51" s="2" t="s">
        <v>60</v>
      </c>
      <c r="C51" s="2">
        <v>85</v>
      </c>
      <c r="D51" s="2">
        <v>83</v>
      </c>
      <c r="E51">
        <v>86</v>
      </c>
      <c r="F51">
        <v>82</v>
      </c>
      <c r="G51">
        <v>88</v>
      </c>
      <c r="H51">
        <v>84</v>
      </c>
      <c r="I51">
        <v>508</v>
      </c>
      <c r="J51" s="4">
        <f t="shared" si="0"/>
        <v>84.666666666666671</v>
      </c>
      <c r="K51">
        <f t="shared" si="1"/>
        <v>508.00051000000002</v>
      </c>
    </row>
    <row r="52" spans="1:11">
      <c r="A52" s="1">
        <v>51</v>
      </c>
      <c r="B52" s="2" t="s">
        <v>61</v>
      </c>
      <c r="C52" s="2">
        <v>80</v>
      </c>
      <c r="D52" s="2">
        <v>78</v>
      </c>
      <c r="E52">
        <v>82</v>
      </c>
      <c r="F52">
        <v>76</v>
      </c>
      <c r="G52">
        <v>84</v>
      </c>
      <c r="H52">
        <v>80</v>
      </c>
      <c r="I52">
        <v>480</v>
      </c>
      <c r="J52" s="4">
        <f t="shared" si="0"/>
        <v>80</v>
      </c>
      <c r="K52">
        <f t="shared" si="1"/>
        <v>480.00051999999999</v>
      </c>
    </row>
    <row r="53" spans="1:11">
      <c r="A53" s="1">
        <v>52</v>
      </c>
      <c r="B53" s="2" t="s">
        <v>62</v>
      </c>
      <c r="C53" s="2">
        <v>92</v>
      </c>
      <c r="D53" s="2">
        <v>89</v>
      </c>
      <c r="E53">
        <v>91</v>
      </c>
      <c r="F53">
        <v>87</v>
      </c>
      <c r="G53">
        <v>93</v>
      </c>
      <c r="H53">
        <v>90</v>
      </c>
      <c r="I53">
        <v>542</v>
      </c>
      <c r="J53" s="4">
        <f t="shared" si="0"/>
        <v>90.333333333333329</v>
      </c>
      <c r="K53">
        <f t="shared" si="1"/>
        <v>542.00053000000003</v>
      </c>
    </row>
    <row r="54" spans="1:11">
      <c r="A54" s="1">
        <v>53</v>
      </c>
      <c r="B54" s="2" t="s">
        <v>63</v>
      </c>
      <c r="C54" s="2">
        <v>84</v>
      </c>
      <c r="D54" s="2">
        <v>82</v>
      </c>
      <c r="E54">
        <v>86</v>
      </c>
      <c r="F54">
        <v>80</v>
      </c>
      <c r="G54">
        <v>88</v>
      </c>
      <c r="H54">
        <v>85</v>
      </c>
      <c r="I54">
        <v>505</v>
      </c>
      <c r="J54" s="4">
        <f t="shared" si="0"/>
        <v>84.166666666666671</v>
      </c>
      <c r="K54">
        <f t="shared" si="1"/>
        <v>505.00054</v>
      </c>
    </row>
    <row r="55" spans="1:11">
      <c r="A55" s="1">
        <v>54</v>
      </c>
      <c r="B55" s="2" t="s">
        <v>64</v>
      </c>
      <c r="C55" s="2">
        <v>89</v>
      </c>
      <c r="D55" s="2">
        <v>87</v>
      </c>
      <c r="E55">
        <v>90</v>
      </c>
      <c r="F55">
        <v>86</v>
      </c>
      <c r="G55">
        <v>91</v>
      </c>
      <c r="H55">
        <v>88</v>
      </c>
      <c r="I55">
        <v>531</v>
      </c>
      <c r="J55" s="4">
        <f t="shared" si="0"/>
        <v>88.5</v>
      </c>
      <c r="K55">
        <f t="shared" si="1"/>
        <v>531.00054999999998</v>
      </c>
    </row>
    <row r="56" spans="1:11">
      <c r="A56" s="1">
        <v>55</v>
      </c>
      <c r="B56" s="2" t="s">
        <v>65</v>
      </c>
      <c r="C56" s="2">
        <v>76</v>
      </c>
      <c r="D56" s="2">
        <v>74</v>
      </c>
      <c r="E56">
        <v>78</v>
      </c>
      <c r="F56">
        <v>72</v>
      </c>
      <c r="G56">
        <v>80</v>
      </c>
      <c r="H56">
        <v>76</v>
      </c>
      <c r="I56">
        <v>456</v>
      </c>
      <c r="J56" s="4">
        <f t="shared" si="0"/>
        <v>76</v>
      </c>
      <c r="K56">
        <f t="shared" si="1"/>
        <v>456.00056000000001</v>
      </c>
    </row>
    <row r="57" spans="1:11">
      <c r="A57" s="1">
        <v>56</v>
      </c>
      <c r="B57" s="2" t="s">
        <v>66</v>
      </c>
      <c r="C57" s="2">
        <v>91</v>
      </c>
      <c r="D57" s="2">
        <v>88</v>
      </c>
      <c r="E57">
        <v>90</v>
      </c>
      <c r="F57">
        <v>86</v>
      </c>
      <c r="G57">
        <v>92</v>
      </c>
      <c r="H57">
        <v>89</v>
      </c>
      <c r="I57">
        <v>536</v>
      </c>
      <c r="J57" s="4">
        <f t="shared" si="0"/>
        <v>89.333333333333329</v>
      </c>
      <c r="K57">
        <f t="shared" si="1"/>
        <v>536.00057000000004</v>
      </c>
    </row>
    <row r="58" spans="1:11">
      <c r="A58" s="1">
        <v>57</v>
      </c>
      <c r="B58" s="2" t="s">
        <v>67</v>
      </c>
      <c r="C58" s="2">
        <v>83</v>
      </c>
      <c r="D58" s="2">
        <v>81</v>
      </c>
      <c r="E58">
        <v>85</v>
      </c>
      <c r="F58">
        <v>79</v>
      </c>
      <c r="G58">
        <v>86</v>
      </c>
      <c r="H58">
        <v>83</v>
      </c>
      <c r="I58">
        <v>497</v>
      </c>
      <c r="J58" s="4">
        <f t="shared" si="0"/>
        <v>82.833333333333343</v>
      </c>
      <c r="K58">
        <f t="shared" si="1"/>
        <v>497.00058000000001</v>
      </c>
    </row>
    <row r="59" spans="1:11">
      <c r="A59" s="1">
        <v>58</v>
      </c>
      <c r="B59" s="2" t="s">
        <v>68</v>
      </c>
      <c r="C59" s="2">
        <v>77</v>
      </c>
      <c r="D59" s="2">
        <v>75</v>
      </c>
      <c r="E59">
        <v>79</v>
      </c>
      <c r="F59">
        <v>73</v>
      </c>
      <c r="G59">
        <v>81</v>
      </c>
      <c r="H59">
        <v>77</v>
      </c>
      <c r="I59">
        <v>462</v>
      </c>
      <c r="J59" s="4">
        <f t="shared" si="0"/>
        <v>77</v>
      </c>
      <c r="K59">
        <f t="shared" si="1"/>
        <v>462.00058999999999</v>
      </c>
    </row>
    <row r="60" spans="1:11">
      <c r="A60" s="1">
        <v>59</v>
      </c>
      <c r="B60" s="2" t="s">
        <v>69</v>
      </c>
      <c r="C60" s="2">
        <v>88</v>
      </c>
      <c r="D60" s="2">
        <v>86</v>
      </c>
      <c r="E60">
        <v>89</v>
      </c>
      <c r="F60">
        <v>85</v>
      </c>
      <c r="G60">
        <v>90</v>
      </c>
      <c r="H60">
        <v>87</v>
      </c>
      <c r="I60">
        <v>525</v>
      </c>
      <c r="J60" s="4">
        <f t="shared" si="0"/>
        <v>87.5</v>
      </c>
      <c r="K60">
        <f t="shared" si="1"/>
        <v>525.00059999999996</v>
      </c>
    </row>
    <row r="61" spans="1:11">
      <c r="A61" s="1">
        <v>60</v>
      </c>
      <c r="B61" s="2" t="s">
        <v>70</v>
      </c>
      <c r="C61" s="2">
        <v>75</v>
      </c>
      <c r="D61" s="2">
        <v>73</v>
      </c>
      <c r="E61">
        <v>77</v>
      </c>
      <c r="F61">
        <v>71</v>
      </c>
      <c r="G61">
        <v>79</v>
      </c>
      <c r="H61">
        <v>75</v>
      </c>
      <c r="I61">
        <v>450</v>
      </c>
      <c r="J61" s="4">
        <f t="shared" si="0"/>
        <v>75</v>
      </c>
      <c r="K61">
        <f t="shared" si="1"/>
        <v>450.00060999999999</v>
      </c>
    </row>
    <row r="62" spans="1:11">
      <c r="A62" s="1">
        <v>61</v>
      </c>
      <c r="B62" s="2" t="s">
        <v>71</v>
      </c>
      <c r="C62" s="2">
        <v>94</v>
      </c>
      <c r="D62" s="2">
        <v>91</v>
      </c>
      <c r="E62">
        <v>93</v>
      </c>
      <c r="F62">
        <v>89</v>
      </c>
      <c r="G62">
        <v>95</v>
      </c>
      <c r="H62">
        <v>92</v>
      </c>
      <c r="I62">
        <v>554</v>
      </c>
      <c r="J62" s="4">
        <f t="shared" si="0"/>
        <v>92.333333333333329</v>
      </c>
      <c r="K62">
        <f t="shared" si="1"/>
        <v>554.00062000000003</v>
      </c>
    </row>
    <row r="63" spans="1:11">
      <c r="A63" s="1">
        <v>62</v>
      </c>
      <c r="B63" s="2" t="s">
        <v>72</v>
      </c>
      <c r="C63" s="2">
        <v>81</v>
      </c>
      <c r="D63" s="2">
        <v>79</v>
      </c>
      <c r="E63">
        <v>83</v>
      </c>
      <c r="F63">
        <v>77</v>
      </c>
      <c r="G63">
        <v>85</v>
      </c>
      <c r="H63">
        <v>81</v>
      </c>
      <c r="I63">
        <v>486</v>
      </c>
      <c r="J63" s="4">
        <f t="shared" si="0"/>
        <v>81</v>
      </c>
      <c r="K63">
        <f t="shared" si="1"/>
        <v>486.00063</v>
      </c>
    </row>
    <row r="64" spans="1:11">
      <c r="A64" s="1">
        <v>63</v>
      </c>
      <c r="B64" s="2" t="s">
        <v>73</v>
      </c>
      <c r="C64" s="2">
        <v>87</v>
      </c>
      <c r="D64" s="2">
        <v>85</v>
      </c>
      <c r="E64">
        <v>88</v>
      </c>
      <c r="F64">
        <v>84</v>
      </c>
      <c r="G64">
        <v>89</v>
      </c>
      <c r="H64">
        <v>86</v>
      </c>
      <c r="I64">
        <v>519</v>
      </c>
      <c r="J64" s="4">
        <f t="shared" si="0"/>
        <v>86.5</v>
      </c>
      <c r="K64">
        <f t="shared" si="1"/>
        <v>519.00063999999998</v>
      </c>
    </row>
    <row r="65" spans="1:11">
      <c r="A65" s="1">
        <v>64</v>
      </c>
      <c r="B65" s="2" t="s">
        <v>74</v>
      </c>
      <c r="C65" s="2">
        <v>80</v>
      </c>
      <c r="D65" s="2">
        <v>78</v>
      </c>
      <c r="E65">
        <v>82</v>
      </c>
      <c r="F65">
        <v>76</v>
      </c>
      <c r="G65">
        <v>84</v>
      </c>
      <c r="H65">
        <v>80</v>
      </c>
      <c r="I65">
        <v>480</v>
      </c>
      <c r="J65" s="4">
        <f t="shared" si="0"/>
        <v>80</v>
      </c>
      <c r="K65">
        <f t="shared" si="1"/>
        <v>480.00065000000001</v>
      </c>
    </row>
    <row r="66" spans="1:11">
      <c r="A66" s="1">
        <v>65</v>
      </c>
      <c r="B66" s="2" t="s">
        <v>75</v>
      </c>
      <c r="C66" s="2">
        <v>85</v>
      </c>
      <c r="D66" s="2">
        <v>83</v>
      </c>
      <c r="E66">
        <v>86</v>
      </c>
      <c r="F66">
        <v>82</v>
      </c>
      <c r="G66">
        <v>88</v>
      </c>
      <c r="H66">
        <v>84</v>
      </c>
      <c r="I66">
        <v>508</v>
      </c>
      <c r="J66" s="4">
        <f t="shared" si="0"/>
        <v>84.666666666666671</v>
      </c>
      <c r="K66">
        <f t="shared" si="1"/>
        <v>508.00065999999998</v>
      </c>
    </row>
    <row r="67" spans="1:11">
      <c r="A67" s="1">
        <v>66</v>
      </c>
      <c r="B67" s="2" t="s">
        <v>76</v>
      </c>
      <c r="C67" s="2">
        <v>90</v>
      </c>
      <c r="D67" s="2">
        <v>87</v>
      </c>
      <c r="E67">
        <v>89</v>
      </c>
      <c r="F67">
        <v>85</v>
      </c>
      <c r="G67">
        <v>91</v>
      </c>
      <c r="H67">
        <v>88</v>
      </c>
      <c r="I67">
        <v>530</v>
      </c>
      <c r="J67" s="4">
        <f t="shared" ref="J67:J130" si="2">I67/600*100</f>
        <v>88.333333333333329</v>
      </c>
      <c r="K67">
        <f t="shared" ref="K67:K130" si="3">I67+(ROW()/100000)</f>
        <v>530.00067000000001</v>
      </c>
    </row>
    <row r="68" spans="1:11">
      <c r="A68" s="1">
        <v>67</v>
      </c>
      <c r="B68" s="2" t="s">
        <v>77</v>
      </c>
      <c r="C68" s="2">
        <v>82</v>
      </c>
      <c r="D68" s="2">
        <v>80</v>
      </c>
      <c r="E68">
        <v>84</v>
      </c>
      <c r="F68">
        <v>78</v>
      </c>
      <c r="G68">
        <v>85</v>
      </c>
      <c r="H68">
        <v>82</v>
      </c>
      <c r="I68">
        <v>491</v>
      </c>
      <c r="J68" s="4">
        <f t="shared" si="2"/>
        <v>81.833333333333343</v>
      </c>
      <c r="K68">
        <f t="shared" si="3"/>
        <v>491.00067999999999</v>
      </c>
    </row>
    <row r="69" spans="1:11">
      <c r="A69" s="1">
        <v>68</v>
      </c>
      <c r="B69" s="2" t="s">
        <v>78</v>
      </c>
      <c r="C69" s="2">
        <v>79</v>
      </c>
      <c r="D69" s="2">
        <v>77</v>
      </c>
      <c r="E69">
        <v>81</v>
      </c>
      <c r="F69">
        <v>75</v>
      </c>
      <c r="G69">
        <v>83</v>
      </c>
      <c r="H69">
        <v>79</v>
      </c>
      <c r="I69">
        <v>474</v>
      </c>
      <c r="J69" s="4">
        <f t="shared" si="2"/>
        <v>79</v>
      </c>
      <c r="K69">
        <f t="shared" si="3"/>
        <v>474.00069000000002</v>
      </c>
    </row>
    <row r="70" spans="1:11">
      <c r="A70" s="1">
        <v>69</v>
      </c>
      <c r="B70" s="2" t="s">
        <v>79</v>
      </c>
      <c r="C70" s="2">
        <v>93</v>
      </c>
      <c r="D70" s="2">
        <v>90</v>
      </c>
      <c r="E70">
        <v>92</v>
      </c>
      <c r="F70">
        <v>88</v>
      </c>
      <c r="G70">
        <v>94</v>
      </c>
      <c r="H70">
        <v>91</v>
      </c>
      <c r="I70">
        <v>548</v>
      </c>
      <c r="J70" s="4">
        <f t="shared" si="2"/>
        <v>91.333333333333329</v>
      </c>
      <c r="K70">
        <f t="shared" si="3"/>
        <v>548.00070000000005</v>
      </c>
    </row>
    <row r="71" spans="1:11">
      <c r="A71" s="1">
        <v>70</v>
      </c>
      <c r="B71" s="2" t="s">
        <v>80</v>
      </c>
      <c r="C71" s="2">
        <v>84</v>
      </c>
      <c r="D71" s="2">
        <v>82</v>
      </c>
      <c r="E71">
        <v>86</v>
      </c>
      <c r="F71">
        <v>80</v>
      </c>
      <c r="G71">
        <v>88</v>
      </c>
      <c r="H71">
        <v>85</v>
      </c>
      <c r="I71">
        <v>505</v>
      </c>
      <c r="J71" s="4">
        <f t="shared" si="2"/>
        <v>84.166666666666671</v>
      </c>
      <c r="K71">
        <f t="shared" si="3"/>
        <v>505.00071000000003</v>
      </c>
    </row>
    <row r="72" spans="1:11">
      <c r="A72" s="1">
        <v>71</v>
      </c>
      <c r="B72" s="2" t="s">
        <v>81</v>
      </c>
      <c r="C72" s="2">
        <v>86</v>
      </c>
      <c r="D72" s="2">
        <v>84</v>
      </c>
      <c r="E72">
        <v>87</v>
      </c>
      <c r="F72">
        <v>81</v>
      </c>
      <c r="G72">
        <v>89</v>
      </c>
      <c r="H72">
        <v>85</v>
      </c>
      <c r="I72">
        <v>512</v>
      </c>
      <c r="J72" s="4">
        <f t="shared" si="2"/>
        <v>85.333333333333343</v>
      </c>
      <c r="K72">
        <f t="shared" si="3"/>
        <v>512.00072</v>
      </c>
    </row>
    <row r="73" spans="1:11">
      <c r="A73" s="1">
        <v>72</v>
      </c>
      <c r="B73" s="2" t="s">
        <v>82</v>
      </c>
      <c r="C73" s="2">
        <v>76</v>
      </c>
      <c r="D73" s="2">
        <v>74</v>
      </c>
      <c r="E73">
        <v>78</v>
      </c>
      <c r="F73">
        <v>72</v>
      </c>
      <c r="G73">
        <v>80</v>
      </c>
      <c r="H73">
        <v>76</v>
      </c>
      <c r="I73">
        <v>456</v>
      </c>
      <c r="J73" s="4">
        <f t="shared" si="2"/>
        <v>76</v>
      </c>
      <c r="K73">
        <f t="shared" si="3"/>
        <v>456.00072999999998</v>
      </c>
    </row>
    <row r="74" spans="1:11">
      <c r="A74" s="1">
        <v>73</v>
      </c>
      <c r="B74" s="2" t="s">
        <v>83</v>
      </c>
      <c r="C74" s="2">
        <v>88</v>
      </c>
      <c r="D74" s="2">
        <v>86</v>
      </c>
      <c r="E74">
        <v>89</v>
      </c>
      <c r="F74">
        <v>85</v>
      </c>
      <c r="G74">
        <v>90</v>
      </c>
      <c r="H74">
        <v>87</v>
      </c>
      <c r="I74">
        <v>525</v>
      </c>
      <c r="J74" s="4">
        <f t="shared" si="2"/>
        <v>87.5</v>
      </c>
      <c r="K74">
        <f t="shared" si="3"/>
        <v>525.00073999999995</v>
      </c>
    </row>
    <row r="75" spans="1:11">
      <c r="A75" s="1">
        <v>74</v>
      </c>
      <c r="B75" s="2" t="s">
        <v>84</v>
      </c>
      <c r="C75" s="2">
        <v>75</v>
      </c>
      <c r="D75" s="2">
        <v>73</v>
      </c>
      <c r="E75">
        <v>77</v>
      </c>
      <c r="F75">
        <v>71</v>
      </c>
      <c r="G75">
        <v>79</v>
      </c>
      <c r="H75">
        <v>75</v>
      </c>
      <c r="I75">
        <v>450</v>
      </c>
      <c r="J75" s="4">
        <f t="shared" si="2"/>
        <v>75</v>
      </c>
      <c r="K75">
        <f t="shared" si="3"/>
        <v>450.00074999999998</v>
      </c>
    </row>
    <row r="76" spans="1:11">
      <c r="A76" s="1">
        <v>75</v>
      </c>
      <c r="B76" s="2" t="s">
        <v>85</v>
      </c>
      <c r="C76" s="2">
        <v>92</v>
      </c>
      <c r="D76" s="2">
        <v>89</v>
      </c>
      <c r="E76">
        <v>91</v>
      </c>
      <c r="F76">
        <v>87</v>
      </c>
      <c r="G76">
        <v>93</v>
      </c>
      <c r="H76">
        <v>90</v>
      </c>
      <c r="I76">
        <v>542</v>
      </c>
      <c r="J76" s="4">
        <f t="shared" si="2"/>
        <v>90.333333333333329</v>
      </c>
      <c r="K76">
        <f t="shared" si="3"/>
        <v>542.00076000000001</v>
      </c>
    </row>
    <row r="77" spans="1:11">
      <c r="A77" s="1">
        <v>76</v>
      </c>
      <c r="B77" s="2" t="s">
        <v>86</v>
      </c>
      <c r="C77" s="2">
        <v>81</v>
      </c>
      <c r="D77" s="2">
        <v>79</v>
      </c>
      <c r="E77">
        <v>83</v>
      </c>
      <c r="F77">
        <v>77</v>
      </c>
      <c r="G77">
        <v>85</v>
      </c>
      <c r="H77">
        <v>81</v>
      </c>
      <c r="I77">
        <v>486</v>
      </c>
      <c r="J77" s="4">
        <f t="shared" si="2"/>
        <v>81</v>
      </c>
      <c r="K77">
        <f t="shared" si="3"/>
        <v>486.00076999999999</v>
      </c>
    </row>
    <row r="78" spans="1:11">
      <c r="A78" s="1">
        <v>77</v>
      </c>
      <c r="B78" s="2" t="s">
        <v>87</v>
      </c>
      <c r="C78" s="2">
        <v>89</v>
      </c>
      <c r="D78" s="2">
        <v>87</v>
      </c>
      <c r="E78">
        <v>90</v>
      </c>
      <c r="F78">
        <v>86</v>
      </c>
      <c r="G78">
        <v>91</v>
      </c>
      <c r="H78">
        <v>88</v>
      </c>
      <c r="I78">
        <v>531</v>
      </c>
      <c r="J78" s="4">
        <f t="shared" si="2"/>
        <v>88.5</v>
      </c>
      <c r="K78">
        <f t="shared" si="3"/>
        <v>531.00077999999996</v>
      </c>
    </row>
    <row r="79" spans="1:11">
      <c r="A79" s="1">
        <v>78</v>
      </c>
      <c r="B79" s="2" t="s">
        <v>88</v>
      </c>
      <c r="C79" s="2">
        <v>80</v>
      </c>
      <c r="D79" s="2">
        <v>78</v>
      </c>
      <c r="E79">
        <v>82</v>
      </c>
      <c r="F79">
        <v>76</v>
      </c>
      <c r="G79">
        <v>84</v>
      </c>
      <c r="H79">
        <v>80</v>
      </c>
      <c r="I79">
        <v>480</v>
      </c>
      <c r="J79" s="4">
        <f t="shared" si="2"/>
        <v>80</v>
      </c>
      <c r="K79">
        <f t="shared" si="3"/>
        <v>480.00078999999999</v>
      </c>
    </row>
    <row r="80" spans="1:11">
      <c r="A80" s="1">
        <v>79</v>
      </c>
      <c r="B80" s="2" t="s">
        <v>89</v>
      </c>
      <c r="C80" s="2">
        <v>85</v>
      </c>
      <c r="D80" s="2">
        <v>83</v>
      </c>
      <c r="E80">
        <v>86</v>
      </c>
      <c r="F80">
        <v>82</v>
      </c>
      <c r="G80">
        <v>88</v>
      </c>
      <c r="H80">
        <v>84</v>
      </c>
      <c r="I80">
        <v>508</v>
      </c>
      <c r="J80" s="4">
        <f t="shared" si="2"/>
        <v>84.666666666666671</v>
      </c>
      <c r="K80">
        <f t="shared" si="3"/>
        <v>508.00080000000003</v>
      </c>
    </row>
    <row r="81" spans="1:11">
      <c r="A81" s="1">
        <v>80</v>
      </c>
      <c r="B81" s="2" t="s">
        <v>90</v>
      </c>
      <c r="C81" s="2">
        <v>87</v>
      </c>
      <c r="D81" s="2">
        <v>85</v>
      </c>
      <c r="E81">
        <v>88</v>
      </c>
      <c r="F81">
        <v>84</v>
      </c>
      <c r="G81">
        <v>89</v>
      </c>
      <c r="H81">
        <v>86</v>
      </c>
      <c r="I81">
        <v>519</v>
      </c>
      <c r="J81" s="4">
        <f t="shared" si="2"/>
        <v>86.5</v>
      </c>
      <c r="K81">
        <f t="shared" si="3"/>
        <v>519.00081</v>
      </c>
    </row>
    <row r="82" spans="1:11">
      <c r="A82" s="1">
        <v>81</v>
      </c>
      <c r="B82" s="2" t="s">
        <v>91</v>
      </c>
      <c r="C82" s="2">
        <v>78</v>
      </c>
      <c r="D82" s="2">
        <v>76</v>
      </c>
      <c r="E82">
        <v>80</v>
      </c>
      <c r="F82">
        <v>74</v>
      </c>
      <c r="G82">
        <v>82</v>
      </c>
      <c r="H82">
        <v>78</v>
      </c>
      <c r="I82">
        <v>468</v>
      </c>
      <c r="J82" s="4">
        <f t="shared" si="2"/>
        <v>78</v>
      </c>
      <c r="K82">
        <f t="shared" si="3"/>
        <v>468.00081999999998</v>
      </c>
    </row>
    <row r="83" spans="1:11">
      <c r="A83" s="1">
        <v>82</v>
      </c>
      <c r="B83" s="2" t="s">
        <v>92</v>
      </c>
      <c r="C83" s="2">
        <v>91</v>
      </c>
      <c r="D83" s="2">
        <v>88</v>
      </c>
      <c r="E83">
        <v>90</v>
      </c>
      <c r="F83">
        <v>86</v>
      </c>
      <c r="G83">
        <v>92</v>
      </c>
      <c r="H83">
        <v>89</v>
      </c>
      <c r="I83">
        <v>536</v>
      </c>
      <c r="J83" s="4">
        <f t="shared" si="2"/>
        <v>89.333333333333329</v>
      </c>
      <c r="K83">
        <f t="shared" si="3"/>
        <v>536.00082999999995</v>
      </c>
    </row>
    <row r="84" spans="1:11">
      <c r="A84" s="1">
        <v>83</v>
      </c>
      <c r="B84" s="2" t="s">
        <v>93</v>
      </c>
      <c r="C84" s="2">
        <v>83</v>
      </c>
      <c r="D84" s="2">
        <v>81</v>
      </c>
      <c r="E84">
        <v>85</v>
      </c>
      <c r="F84">
        <v>79</v>
      </c>
      <c r="G84">
        <v>86</v>
      </c>
      <c r="H84">
        <v>83</v>
      </c>
      <c r="I84">
        <v>497</v>
      </c>
      <c r="J84" s="4">
        <f t="shared" si="2"/>
        <v>82.833333333333343</v>
      </c>
      <c r="K84">
        <f t="shared" si="3"/>
        <v>497.00083999999998</v>
      </c>
    </row>
    <row r="85" spans="1:11">
      <c r="A85" s="1">
        <v>84</v>
      </c>
      <c r="B85" s="2" t="s">
        <v>94</v>
      </c>
      <c r="C85" s="2">
        <v>77</v>
      </c>
      <c r="D85" s="2">
        <v>75</v>
      </c>
      <c r="E85">
        <v>79</v>
      </c>
      <c r="F85">
        <v>73</v>
      </c>
      <c r="G85">
        <v>81</v>
      </c>
      <c r="H85">
        <v>77</v>
      </c>
      <c r="I85">
        <v>462</v>
      </c>
      <c r="J85" s="4">
        <f t="shared" si="2"/>
        <v>77</v>
      </c>
      <c r="K85">
        <f t="shared" si="3"/>
        <v>462.00085000000001</v>
      </c>
    </row>
    <row r="86" spans="1:11">
      <c r="A86" s="1">
        <v>85</v>
      </c>
      <c r="B86" s="2" t="s">
        <v>95</v>
      </c>
      <c r="C86" s="2">
        <v>90</v>
      </c>
      <c r="D86" s="2">
        <v>87</v>
      </c>
      <c r="E86">
        <v>89</v>
      </c>
      <c r="F86">
        <v>85</v>
      </c>
      <c r="G86">
        <v>91</v>
      </c>
      <c r="H86">
        <v>88</v>
      </c>
      <c r="I86">
        <v>530</v>
      </c>
      <c r="J86" s="4">
        <f t="shared" si="2"/>
        <v>88.333333333333329</v>
      </c>
      <c r="K86">
        <f t="shared" si="3"/>
        <v>530.00085999999999</v>
      </c>
    </row>
    <row r="87" spans="1:11">
      <c r="A87" s="1">
        <v>86</v>
      </c>
      <c r="B87" s="2" t="s">
        <v>96</v>
      </c>
      <c r="C87" s="2">
        <v>82</v>
      </c>
      <c r="D87" s="2">
        <v>80</v>
      </c>
      <c r="E87">
        <v>84</v>
      </c>
      <c r="F87">
        <v>78</v>
      </c>
      <c r="G87">
        <v>85</v>
      </c>
      <c r="H87">
        <v>82</v>
      </c>
      <c r="I87">
        <v>491</v>
      </c>
      <c r="J87" s="4">
        <f t="shared" si="2"/>
        <v>81.833333333333343</v>
      </c>
      <c r="K87">
        <f t="shared" si="3"/>
        <v>491.00087000000002</v>
      </c>
    </row>
    <row r="88" spans="1:11">
      <c r="A88" s="1">
        <v>87</v>
      </c>
      <c r="B88" s="2" t="s">
        <v>97</v>
      </c>
      <c r="C88" s="2">
        <v>79</v>
      </c>
      <c r="D88" s="2">
        <v>77</v>
      </c>
      <c r="E88">
        <v>81</v>
      </c>
      <c r="F88">
        <v>75</v>
      </c>
      <c r="G88">
        <v>83</v>
      </c>
      <c r="H88">
        <v>79</v>
      </c>
      <c r="I88">
        <v>474</v>
      </c>
      <c r="J88" s="4">
        <f t="shared" si="2"/>
        <v>79</v>
      </c>
      <c r="K88">
        <f t="shared" si="3"/>
        <v>474.00088</v>
      </c>
    </row>
    <row r="89" spans="1:11">
      <c r="A89" s="1">
        <v>88</v>
      </c>
      <c r="B89" s="2" t="s">
        <v>98</v>
      </c>
      <c r="C89" s="2">
        <v>93</v>
      </c>
      <c r="D89" s="2">
        <v>90</v>
      </c>
      <c r="E89">
        <v>92</v>
      </c>
      <c r="F89">
        <v>88</v>
      </c>
      <c r="G89">
        <v>94</v>
      </c>
      <c r="H89">
        <v>91</v>
      </c>
      <c r="I89">
        <v>548</v>
      </c>
      <c r="J89" s="4">
        <f t="shared" si="2"/>
        <v>91.333333333333329</v>
      </c>
      <c r="K89">
        <f t="shared" si="3"/>
        <v>548.00089000000003</v>
      </c>
    </row>
    <row r="90" spans="1:11">
      <c r="A90" s="1">
        <v>89</v>
      </c>
      <c r="B90" s="2" t="s">
        <v>99</v>
      </c>
      <c r="C90" s="2">
        <v>84</v>
      </c>
      <c r="D90" s="2">
        <v>82</v>
      </c>
      <c r="E90">
        <v>86</v>
      </c>
      <c r="F90">
        <v>80</v>
      </c>
      <c r="G90">
        <v>88</v>
      </c>
      <c r="H90">
        <v>85</v>
      </c>
      <c r="I90">
        <v>505</v>
      </c>
      <c r="J90" s="4">
        <f t="shared" si="2"/>
        <v>84.166666666666671</v>
      </c>
      <c r="K90">
        <f t="shared" si="3"/>
        <v>505.0009</v>
      </c>
    </row>
    <row r="91" spans="1:11">
      <c r="A91" s="1">
        <v>90</v>
      </c>
      <c r="B91" s="2" t="s">
        <v>100</v>
      </c>
      <c r="C91" s="2">
        <v>86</v>
      </c>
      <c r="D91" s="2">
        <v>84</v>
      </c>
      <c r="E91">
        <v>87</v>
      </c>
      <c r="F91">
        <v>81</v>
      </c>
      <c r="G91">
        <v>89</v>
      </c>
      <c r="H91">
        <v>85</v>
      </c>
      <c r="I91">
        <v>512</v>
      </c>
      <c r="J91" s="4">
        <f t="shared" si="2"/>
        <v>85.333333333333343</v>
      </c>
      <c r="K91">
        <f t="shared" si="3"/>
        <v>512.00090999999998</v>
      </c>
    </row>
    <row r="92" spans="1:11">
      <c r="A92" s="1">
        <v>91</v>
      </c>
      <c r="B92" s="2" t="s">
        <v>101</v>
      </c>
      <c r="C92" s="2">
        <v>76</v>
      </c>
      <c r="D92" s="2">
        <v>74</v>
      </c>
      <c r="E92">
        <v>78</v>
      </c>
      <c r="F92">
        <v>72</v>
      </c>
      <c r="G92">
        <v>80</v>
      </c>
      <c r="H92">
        <v>76</v>
      </c>
      <c r="I92">
        <v>456</v>
      </c>
      <c r="J92" s="4">
        <f t="shared" si="2"/>
        <v>76</v>
      </c>
      <c r="K92">
        <f t="shared" si="3"/>
        <v>456.00092000000001</v>
      </c>
    </row>
    <row r="93" spans="1:11">
      <c r="A93" s="1">
        <v>92</v>
      </c>
      <c r="B93" s="2" t="s">
        <v>102</v>
      </c>
      <c r="C93" s="2">
        <v>88</v>
      </c>
      <c r="D93" s="2">
        <v>86</v>
      </c>
      <c r="E93">
        <v>89</v>
      </c>
      <c r="F93">
        <v>85</v>
      </c>
      <c r="G93">
        <v>90</v>
      </c>
      <c r="H93">
        <v>87</v>
      </c>
      <c r="I93">
        <v>525</v>
      </c>
      <c r="J93" s="4">
        <f t="shared" si="2"/>
        <v>87.5</v>
      </c>
      <c r="K93">
        <f t="shared" si="3"/>
        <v>525.00093000000004</v>
      </c>
    </row>
    <row r="94" spans="1:11">
      <c r="A94" s="1">
        <v>93</v>
      </c>
      <c r="B94" s="2" t="s">
        <v>103</v>
      </c>
      <c r="C94" s="2">
        <v>75</v>
      </c>
      <c r="D94" s="2">
        <v>73</v>
      </c>
      <c r="E94">
        <v>77</v>
      </c>
      <c r="F94">
        <v>71</v>
      </c>
      <c r="G94">
        <v>79</v>
      </c>
      <c r="H94">
        <v>75</v>
      </c>
      <c r="I94">
        <v>450</v>
      </c>
      <c r="J94" s="4">
        <f t="shared" si="2"/>
        <v>75</v>
      </c>
      <c r="K94">
        <f t="shared" si="3"/>
        <v>450.00094000000001</v>
      </c>
    </row>
    <row r="95" spans="1:11">
      <c r="A95" s="1">
        <v>94</v>
      </c>
      <c r="B95" s="2" t="s">
        <v>104</v>
      </c>
      <c r="C95" s="2">
        <v>92</v>
      </c>
      <c r="D95" s="2">
        <v>89</v>
      </c>
      <c r="E95">
        <v>91</v>
      </c>
      <c r="F95">
        <v>87</v>
      </c>
      <c r="G95">
        <v>93</v>
      </c>
      <c r="H95">
        <v>90</v>
      </c>
      <c r="I95">
        <v>542</v>
      </c>
      <c r="J95" s="4">
        <f t="shared" si="2"/>
        <v>90.333333333333329</v>
      </c>
      <c r="K95">
        <f t="shared" si="3"/>
        <v>542.00094999999999</v>
      </c>
    </row>
    <row r="96" spans="1:11">
      <c r="A96" s="1">
        <v>95</v>
      </c>
      <c r="B96" s="2" t="s">
        <v>105</v>
      </c>
      <c r="C96" s="2">
        <v>81</v>
      </c>
      <c r="D96" s="2">
        <v>79</v>
      </c>
      <c r="E96">
        <v>83</v>
      </c>
      <c r="F96">
        <v>77</v>
      </c>
      <c r="G96">
        <v>85</v>
      </c>
      <c r="H96">
        <v>81</v>
      </c>
      <c r="I96">
        <v>486</v>
      </c>
      <c r="J96" s="4">
        <f t="shared" si="2"/>
        <v>81</v>
      </c>
      <c r="K96">
        <f t="shared" si="3"/>
        <v>486.00096000000002</v>
      </c>
    </row>
    <row r="97" spans="1:11">
      <c r="A97" s="1">
        <v>96</v>
      </c>
      <c r="B97" s="2" t="s">
        <v>106</v>
      </c>
      <c r="C97" s="2">
        <v>89</v>
      </c>
      <c r="D97" s="2">
        <v>87</v>
      </c>
      <c r="E97">
        <v>90</v>
      </c>
      <c r="F97">
        <v>86</v>
      </c>
      <c r="G97">
        <v>91</v>
      </c>
      <c r="H97">
        <v>88</v>
      </c>
      <c r="I97">
        <v>531</v>
      </c>
      <c r="J97" s="4">
        <f t="shared" si="2"/>
        <v>88.5</v>
      </c>
      <c r="K97">
        <f t="shared" si="3"/>
        <v>531.00097000000005</v>
      </c>
    </row>
    <row r="98" spans="1:11">
      <c r="A98" s="1">
        <v>97</v>
      </c>
      <c r="B98" s="2" t="s">
        <v>107</v>
      </c>
      <c r="C98" s="2">
        <v>80</v>
      </c>
      <c r="D98" s="2">
        <v>78</v>
      </c>
      <c r="E98">
        <v>82</v>
      </c>
      <c r="F98">
        <v>76</v>
      </c>
      <c r="G98">
        <v>84</v>
      </c>
      <c r="H98">
        <v>80</v>
      </c>
      <c r="I98">
        <v>480</v>
      </c>
      <c r="J98" s="4">
        <f t="shared" si="2"/>
        <v>80</v>
      </c>
      <c r="K98">
        <f t="shared" si="3"/>
        <v>480.00098000000003</v>
      </c>
    </row>
    <row r="99" spans="1:11">
      <c r="A99" s="1">
        <v>98</v>
      </c>
      <c r="B99" s="2" t="s">
        <v>108</v>
      </c>
      <c r="C99" s="2">
        <v>85</v>
      </c>
      <c r="D99" s="2">
        <v>83</v>
      </c>
      <c r="E99">
        <v>86</v>
      </c>
      <c r="F99">
        <v>82</v>
      </c>
      <c r="G99">
        <v>88</v>
      </c>
      <c r="H99">
        <v>84</v>
      </c>
      <c r="I99">
        <v>508</v>
      </c>
      <c r="J99" s="4">
        <f t="shared" si="2"/>
        <v>84.666666666666671</v>
      </c>
      <c r="K99">
        <f t="shared" si="3"/>
        <v>508.00099</v>
      </c>
    </row>
    <row r="100" spans="1:11">
      <c r="A100" s="1">
        <v>99</v>
      </c>
      <c r="B100" s="2" t="s">
        <v>109</v>
      </c>
      <c r="C100" s="2">
        <v>87</v>
      </c>
      <c r="D100" s="2">
        <v>85</v>
      </c>
      <c r="E100">
        <v>88</v>
      </c>
      <c r="F100">
        <v>84</v>
      </c>
      <c r="G100">
        <v>89</v>
      </c>
      <c r="H100">
        <v>86</v>
      </c>
      <c r="I100">
        <v>519</v>
      </c>
      <c r="J100" s="4">
        <f t="shared" si="2"/>
        <v>86.5</v>
      </c>
      <c r="K100">
        <f t="shared" si="3"/>
        <v>519.00099999999998</v>
      </c>
    </row>
    <row r="101" spans="1:11">
      <c r="A101" s="1">
        <v>100</v>
      </c>
      <c r="B101" s="2" t="s">
        <v>110</v>
      </c>
      <c r="C101" s="2">
        <v>78</v>
      </c>
      <c r="D101" s="2">
        <v>76</v>
      </c>
      <c r="E101">
        <v>80</v>
      </c>
      <c r="F101">
        <v>74</v>
      </c>
      <c r="G101">
        <v>82</v>
      </c>
      <c r="H101">
        <v>78</v>
      </c>
      <c r="I101">
        <v>468</v>
      </c>
      <c r="J101" s="4">
        <f t="shared" si="2"/>
        <v>78</v>
      </c>
      <c r="K101">
        <f t="shared" si="3"/>
        <v>468.00101000000001</v>
      </c>
    </row>
    <row r="102" spans="1:11">
      <c r="A102" s="1">
        <v>101</v>
      </c>
      <c r="B102" s="2" t="s">
        <v>111</v>
      </c>
      <c r="C102" s="2">
        <v>91</v>
      </c>
      <c r="D102" s="2">
        <v>88</v>
      </c>
      <c r="E102">
        <v>90</v>
      </c>
      <c r="F102">
        <v>86</v>
      </c>
      <c r="G102">
        <v>92</v>
      </c>
      <c r="H102">
        <v>89</v>
      </c>
      <c r="I102">
        <v>536</v>
      </c>
      <c r="J102" s="4">
        <f t="shared" si="2"/>
        <v>89.333333333333329</v>
      </c>
      <c r="K102">
        <f t="shared" si="3"/>
        <v>536.00102000000004</v>
      </c>
    </row>
    <row r="103" spans="1:11">
      <c r="A103" s="1">
        <v>102</v>
      </c>
      <c r="B103" s="2" t="s">
        <v>112</v>
      </c>
      <c r="C103" s="2">
        <v>83</v>
      </c>
      <c r="D103" s="2">
        <v>81</v>
      </c>
      <c r="E103">
        <v>85</v>
      </c>
      <c r="F103">
        <v>79</v>
      </c>
      <c r="G103">
        <v>86</v>
      </c>
      <c r="H103">
        <v>83</v>
      </c>
      <c r="I103">
        <v>497</v>
      </c>
      <c r="J103" s="4">
        <f t="shared" si="2"/>
        <v>82.833333333333343</v>
      </c>
      <c r="K103">
        <f t="shared" si="3"/>
        <v>497.00103000000001</v>
      </c>
    </row>
    <row r="104" spans="1:11">
      <c r="A104" s="1">
        <v>103</v>
      </c>
      <c r="B104" s="2" t="s">
        <v>113</v>
      </c>
      <c r="C104" s="2">
        <v>77</v>
      </c>
      <c r="D104" s="2">
        <v>75</v>
      </c>
      <c r="E104">
        <v>79</v>
      </c>
      <c r="F104">
        <v>73</v>
      </c>
      <c r="G104">
        <v>81</v>
      </c>
      <c r="H104">
        <v>77</v>
      </c>
      <c r="I104">
        <v>462</v>
      </c>
      <c r="J104" s="4">
        <f t="shared" si="2"/>
        <v>77</v>
      </c>
      <c r="K104">
        <f t="shared" si="3"/>
        <v>462.00103999999999</v>
      </c>
    </row>
    <row r="105" spans="1:11">
      <c r="A105" s="1">
        <v>104</v>
      </c>
      <c r="B105" s="2" t="s">
        <v>114</v>
      </c>
      <c r="C105" s="2">
        <v>88</v>
      </c>
      <c r="D105" s="2">
        <v>86</v>
      </c>
      <c r="E105">
        <v>89</v>
      </c>
      <c r="F105">
        <v>85</v>
      </c>
      <c r="G105">
        <v>90</v>
      </c>
      <c r="H105">
        <v>87</v>
      </c>
      <c r="I105">
        <v>525</v>
      </c>
      <c r="J105" s="4">
        <f t="shared" si="2"/>
        <v>87.5</v>
      </c>
      <c r="K105">
        <f t="shared" si="3"/>
        <v>525.00104999999996</v>
      </c>
    </row>
    <row r="106" spans="1:11">
      <c r="A106" s="1">
        <v>105</v>
      </c>
      <c r="B106" s="2" t="s">
        <v>115</v>
      </c>
      <c r="C106" s="2">
        <v>75</v>
      </c>
      <c r="D106" s="2">
        <v>73</v>
      </c>
      <c r="E106">
        <v>77</v>
      </c>
      <c r="F106">
        <v>71</v>
      </c>
      <c r="G106">
        <v>79</v>
      </c>
      <c r="H106">
        <v>75</v>
      </c>
      <c r="I106">
        <v>450</v>
      </c>
      <c r="J106" s="4">
        <f t="shared" si="2"/>
        <v>75</v>
      </c>
      <c r="K106">
        <f t="shared" si="3"/>
        <v>450.00106</v>
      </c>
    </row>
    <row r="107" spans="1:11">
      <c r="A107" s="1">
        <v>106</v>
      </c>
      <c r="B107" s="2" t="s">
        <v>116</v>
      </c>
      <c r="C107" s="2">
        <v>92</v>
      </c>
      <c r="D107" s="2">
        <v>89</v>
      </c>
      <c r="E107">
        <v>91</v>
      </c>
      <c r="F107">
        <v>87</v>
      </c>
      <c r="G107">
        <v>93</v>
      </c>
      <c r="H107">
        <v>90</v>
      </c>
      <c r="I107">
        <v>542</v>
      </c>
      <c r="J107" s="4">
        <f t="shared" si="2"/>
        <v>90.333333333333329</v>
      </c>
      <c r="K107">
        <f t="shared" si="3"/>
        <v>542.00107000000003</v>
      </c>
    </row>
    <row r="108" spans="1:11">
      <c r="A108" s="1">
        <v>107</v>
      </c>
      <c r="B108" s="2" t="s">
        <v>117</v>
      </c>
      <c r="C108" s="2">
        <v>81</v>
      </c>
      <c r="D108" s="2">
        <v>79</v>
      </c>
      <c r="E108">
        <v>83</v>
      </c>
      <c r="F108">
        <v>77</v>
      </c>
      <c r="G108">
        <v>85</v>
      </c>
      <c r="H108">
        <v>81</v>
      </c>
      <c r="I108">
        <v>486</v>
      </c>
      <c r="J108" s="4">
        <f t="shared" si="2"/>
        <v>81</v>
      </c>
      <c r="K108">
        <f t="shared" si="3"/>
        <v>486.00108</v>
      </c>
    </row>
    <row r="109" spans="1:11">
      <c r="A109" s="1">
        <v>108</v>
      </c>
      <c r="B109" s="2" t="s">
        <v>118</v>
      </c>
      <c r="C109" s="2">
        <v>89</v>
      </c>
      <c r="D109" s="2">
        <v>87</v>
      </c>
      <c r="E109">
        <v>90</v>
      </c>
      <c r="F109">
        <v>86</v>
      </c>
      <c r="G109">
        <v>91</v>
      </c>
      <c r="H109">
        <v>88</v>
      </c>
      <c r="I109">
        <v>531</v>
      </c>
      <c r="J109" s="4">
        <f t="shared" si="2"/>
        <v>88.5</v>
      </c>
      <c r="K109">
        <f t="shared" si="3"/>
        <v>531.00108999999998</v>
      </c>
    </row>
    <row r="110" spans="1:11">
      <c r="A110" s="1">
        <v>109</v>
      </c>
      <c r="B110" s="2" t="s">
        <v>119</v>
      </c>
      <c r="C110" s="2">
        <v>80</v>
      </c>
      <c r="D110" s="2">
        <v>78</v>
      </c>
      <c r="E110">
        <v>82</v>
      </c>
      <c r="F110">
        <v>76</v>
      </c>
      <c r="G110">
        <v>84</v>
      </c>
      <c r="H110">
        <v>80</v>
      </c>
      <c r="I110">
        <v>480</v>
      </c>
      <c r="J110" s="4">
        <f t="shared" si="2"/>
        <v>80</v>
      </c>
      <c r="K110">
        <f t="shared" si="3"/>
        <v>480.00110000000001</v>
      </c>
    </row>
    <row r="111" spans="1:11">
      <c r="A111" s="1">
        <v>110</v>
      </c>
      <c r="B111" s="2" t="s">
        <v>120</v>
      </c>
      <c r="C111" s="2">
        <v>85</v>
      </c>
      <c r="D111" s="2">
        <v>83</v>
      </c>
      <c r="E111">
        <v>86</v>
      </c>
      <c r="F111">
        <v>82</v>
      </c>
      <c r="G111">
        <v>88</v>
      </c>
      <c r="H111">
        <v>84</v>
      </c>
      <c r="I111">
        <v>508</v>
      </c>
      <c r="J111" s="4">
        <f t="shared" si="2"/>
        <v>84.666666666666671</v>
      </c>
      <c r="K111">
        <f t="shared" si="3"/>
        <v>508.00110999999998</v>
      </c>
    </row>
    <row r="112" spans="1:11">
      <c r="A112" s="1">
        <v>111</v>
      </c>
      <c r="B112" s="2" t="s">
        <v>121</v>
      </c>
      <c r="C112" s="2">
        <v>87</v>
      </c>
      <c r="D112" s="2">
        <v>85</v>
      </c>
      <c r="E112">
        <v>88</v>
      </c>
      <c r="F112">
        <v>84</v>
      </c>
      <c r="G112">
        <v>89</v>
      </c>
      <c r="H112">
        <v>86</v>
      </c>
      <c r="I112">
        <v>519</v>
      </c>
      <c r="J112" s="4">
        <f t="shared" si="2"/>
        <v>86.5</v>
      </c>
      <c r="K112">
        <f t="shared" si="3"/>
        <v>519.00112000000001</v>
      </c>
    </row>
    <row r="113" spans="1:11">
      <c r="A113" s="1">
        <v>112</v>
      </c>
      <c r="B113" s="2" t="s">
        <v>122</v>
      </c>
      <c r="C113" s="2">
        <v>78</v>
      </c>
      <c r="D113" s="2">
        <v>76</v>
      </c>
      <c r="E113">
        <v>80</v>
      </c>
      <c r="F113">
        <v>74</v>
      </c>
      <c r="G113">
        <v>82</v>
      </c>
      <c r="H113">
        <v>78</v>
      </c>
      <c r="I113">
        <v>468</v>
      </c>
      <c r="J113" s="4">
        <f t="shared" si="2"/>
        <v>78</v>
      </c>
      <c r="K113">
        <f t="shared" si="3"/>
        <v>468.00112999999999</v>
      </c>
    </row>
    <row r="114" spans="1:11">
      <c r="A114" s="1">
        <v>113</v>
      </c>
      <c r="B114" s="2" t="s">
        <v>123</v>
      </c>
      <c r="C114" s="2">
        <v>91</v>
      </c>
      <c r="D114" s="2">
        <v>88</v>
      </c>
      <c r="E114">
        <v>90</v>
      </c>
      <c r="F114">
        <v>86</v>
      </c>
      <c r="G114">
        <v>92</v>
      </c>
      <c r="H114">
        <v>89</v>
      </c>
      <c r="I114">
        <v>536</v>
      </c>
      <c r="J114" s="4">
        <f t="shared" si="2"/>
        <v>89.333333333333329</v>
      </c>
      <c r="K114">
        <f t="shared" si="3"/>
        <v>536.00113999999996</v>
      </c>
    </row>
    <row r="115" spans="1:11">
      <c r="A115" s="1">
        <v>114</v>
      </c>
      <c r="B115" s="2" t="s">
        <v>124</v>
      </c>
      <c r="C115" s="2">
        <v>82</v>
      </c>
      <c r="D115" s="2">
        <v>80</v>
      </c>
      <c r="E115">
        <v>84</v>
      </c>
      <c r="F115">
        <v>78</v>
      </c>
      <c r="G115">
        <v>85</v>
      </c>
      <c r="H115">
        <v>82</v>
      </c>
      <c r="I115">
        <v>491</v>
      </c>
      <c r="J115" s="4">
        <f t="shared" si="2"/>
        <v>81.833333333333343</v>
      </c>
      <c r="K115">
        <f t="shared" si="3"/>
        <v>491.00115</v>
      </c>
    </row>
    <row r="116" spans="1:11">
      <c r="A116" s="1">
        <v>115</v>
      </c>
      <c r="B116" s="2" t="s">
        <v>125</v>
      </c>
      <c r="C116" s="2">
        <v>79</v>
      </c>
      <c r="D116" s="2">
        <v>77</v>
      </c>
      <c r="E116">
        <v>81</v>
      </c>
      <c r="F116">
        <v>75</v>
      </c>
      <c r="G116">
        <v>83</v>
      </c>
      <c r="H116">
        <v>79</v>
      </c>
      <c r="I116">
        <v>474</v>
      </c>
      <c r="J116" s="4">
        <f t="shared" si="2"/>
        <v>79</v>
      </c>
      <c r="K116">
        <f t="shared" si="3"/>
        <v>474.00116000000003</v>
      </c>
    </row>
    <row r="117" spans="1:11">
      <c r="A117" s="1">
        <v>116</v>
      </c>
      <c r="B117" s="2" t="s">
        <v>126</v>
      </c>
      <c r="C117" s="2">
        <v>93</v>
      </c>
      <c r="D117" s="2">
        <v>90</v>
      </c>
      <c r="E117">
        <v>92</v>
      </c>
      <c r="F117">
        <v>88</v>
      </c>
      <c r="G117">
        <v>94</v>
      </c>
      <c r="H117">
        <v>91</v>
      </c>
      <c r="I117">
        <v>548</v>
      </c>
      <c r="J117" s="4">
        <f t="shared" si="2"/>
        <v>91.333333333333329</v>
      </c>
      <c r="K117">
        <f t="shared" si="3"/>
        <v>548.00117</v>
      </c>
    </row>
    <row r="118" spans="1:11">
      <c r="A118" s="1">
        <v>117</v>
      </c>
      <c r="B118" s="2" t="s">
        <v>127</v>
      </c>
      <c r="C118" s="2">
        <v>84</v>
      </c>
      <c r="D118" s="2">
        <v>82</v>
      </c>
      <c r="E118">
        <v>86</v>
      </c>
      <c r="F118">
        <v>80</v>
      </c>
      <c r="G118">
        <v>88</v>
      </c>
      <c r="H118">
        <v>85</v>
      </c>
      <c r="I118">
        <v>505</v>
      </c>
      <c r="J118" s="4">
        <f t="shared" si="2"/>
        <v>84.166666666666671</v>
      </c>
      <c r="K118">
        <f t="shared" si="3"/>
        <v>505.00117999999998</v>
      </c>
    </row>
    <row r="119" spans="1:11">
      <c r="A119" s="1">
        <v>118</v>
      </c>
      <c r="B119" s="2" t="s">
        <v>128</v>
      </c>
      <c r="C119" s="2">
        <v>86</v>
      </c>
      <c r="D119" s="2">
        <v>84</v>
      </c>
      <c r="E119">
        <v>87</v>
      </c>
      <c r="F119">
        <v>81</v>
      </c>
      <c r="G119">
        <v>89</v>
      </c>
      <c r="H119">
        <v>85</v>
      </c>
      <c r="I119">
        <v>512</v>
      </c>
      <c r="J119" s="4">
        <f t="shared" si="2"/>
        <v>85.333333333333343</v>
      </c>
      <c r="K119">
        <f t="shared" si="3"/>
        <v>512.00118999999995</v>
      </c>
    </row>
    <row r="120" spans="1:11">
      <c r="A120" s="1">
        <v>119</v>
      </c>
      <c r="B120" s="2" t="s">
        <v>129</v>
      </c>
      <c r="C120" s="2">
        <v>76</v>
      </c>
      <c r="D120" s="2">
        <v>74</v>
      </c>
      <c r="E120">
        <v>78</v>
      </c>
      <c r="F120">
        <v>72</v>
      </c>
      <c r="G120">
        <v>80</v>
      </c>
      <c r="H120">
        <v>76</v>
      </c>
      <c r="I120">
        <v>456</v>
      </c>
      <c r="J120" s="4">
        <f t="shared" si="2"/>
        <v>76</v>
      </c>
      <c r="K120">
        <f t="shared" si="3"/>
        <v>456.00119999999998</v>
      </c>
    </row>
    <row r="121" spans="1:11">
      <c r="A121" s="1">
        <v>120</v>
      </c>
      <c r="B121" s="2" t="s">
        <v>130</v>
      </c>
      <c r="C121" s="2">
        <v>88</v>
      </c>
      <c r="D121" s="2">
        <v>86</v>
      </c>
      <c r="E121">
        <v>89</v>
      </c>
      <c r="F121">
        <v>85</v>
      </c>
      <c r="G121">
        <v>90</v>
      </c>
      <c r="H121">
        <v>87</v>
      </c>
      <c r="I121">
        <v>525</v>
      </c>
      <c r="J121" s="4">
        <f t="shared" si="2"/>
        <v>87.5</v>
      </c>
      <c r="K121">
        <f t="shared" si="3"/>
        <v>525.00121000000001</v>
      </c>
    </row>
    <row r="122" spans="1:11">
      <c r="A122" s="1">
        <v>121</v>
      </c>
      <c r="B122" s="2" t="s">
        <v>131</v>
      </c>
      <c r="C122" s="2">
        <v>75</v>
      </c>
      <c r="D122" s="2">
        <v>73</v>
      </c>
      <c r="E122">
        <v>77</v>
      </c>
      <c r="F122">
        <v>71</v>
      </c>
      <c r="G122">
        <v>79</v>
      </c>
      <c r="H122">
        <v>75</v>
      </c>
      <c r="I122">
        <v>450</v>
      </c>
      <c r="J122" s="4">
        <f t="shared" si="2"/>
        <v>75</v>
      </c>
      <c r="K122">
        <f t="shared" si="3"/>
        <v>450.00121999999999</v>
      </c>
    </row>
    <row r="123" spans="1:11">
      <c r="A123" s="1">
        <v>122</v>
      </c>
      <c r="B123" s="2" t="s">
        <v>132</v>
      </c>
      <c r="C123" s="2">
        <v>92</v>
      </c>
      <c r="D123" s="2">
        <v>89</v>
      </c>
      <c r="E123">
        <v>91</v>
      </c>
      <c r="F123">
        <v>87</v>
      </c>
      <c r="G123">
        <v>93</v>
      </c>
      <c r="H123">
        <v>90</v>
      </c>
      <c r="I123">
        <v>542</v>
      </c>
      <c r="J123" s="4">
        <f t="shared" si="2"/>
        <v>90.333333333333329</v>
      </c>
      <c r="K123">
        <f t="shared" si="3"/>
        <v>542.00122999999996</v>
      </c>
    </row>
    <row r="124" spans="1:11">
      <c r="A124" s="1">
        <v>123</v>
      </c>
      <c r="B124" s="2" t="s">
        <v>133</v>
      </c>
      <c r="C124" s="2">
        <v>81</v>
      </c>
      <c r="D124" s="2">
        <v>79</v>
      </c>
      <c r="E124">
        <v>83</v>
      </c>
      <c r="F124">
        <v>77</v>
      </c>
      <c r="G124">
        <v>85</v>
      </c>
      <c r="H124">
        <v>81</v>
      </c>
      <c r="I124">
        <v>486</v>
      </c>
      <c r="J124" s="4">
        <f t="shared" si="2"/>
        <v>81</v>
      </c>
      <c r="K124">
        <f t="shared" si="3"/>
        <v>486.00124</v>
      </c>
    </row>
    <row r="125" spans="1:11">
      <c r="A125" s="1">
        <v>124</v>
      </c>
      <c r="B125" s="2" t="s">
        <v>134</v>
      </c>
      <c r="C125" s="2">
        <v>89</v>
      </c>
      <c r="D125" s="2">
        <v>87</v>
      </c>
      <c r="E125">
        <v>90</v>
      </c>
      <c r="F125">
        <v>86</v>
      </c>
      <c r="G125">
        <v>91</v>
      </c>
      <c r="H125">
        <v>88</v>
      </c>
      <c r="I125">
        <v>531</v>
      </c>
      <c r="J125" s="4">
        <f t="shared" si="2"/>
        <v>88.5</v>
      </c>
      <c r="K125">
        <f t="shared" si="3"/>
        <v>531.00125000000003</v>
      </c>
    </row>
    <row r="126" spans="1:11">
      <c r="A126" s="1">
        <v>125</v>
      </c>
      <c r="B126" s="2" t="s">
        <v>135</v>
      </c>
      <c r="C126" s="2">
        <v>80</v>
      </c>
      <c r="D126" s="2">
        <v>78</v>
      </c>
      <c r="E126">
        <v>82</v>
      </c>
      <c r="F126">
        <v>76</v>
      </c>
      <c r="G126">
        <v>84</v>
      </c>
      <c r="H126">
        <v>80</v>
      </c>
      <c r="I126">
        <v>480</v>
      </c>
      <c r="J126" s="4">
        <f t="shared" si="2"/>
        <v>80</v>
      </c>
      <c r="K126">
        <f t="shared" si="3"/>
        <v>480.00126</v>
      </c>
    </row>
    <row r="127" spans="1:11">
      <c r="A127" s="1">
        <v>126</v>
      </c>
      <c r="B127" s="2" t="s">
        <v>136</v>
      </c>
      <c r="C127" s="2">
        <v>85</v>
      </c>
      <c r="D127" s="2">
        <v>83</v>
      </c>
      <c r="E127">
        <v>86</v>
      </c>
      <c r="F127">
        <v>82</v>
      </c>
      <c r="G127">
        <v>88</v>
      </c>
      <c r="H127">
        <v>84</v>
      </c>
      <c r="I127">
        <v>508</v>
      </c>
      <c r="J127" s="4">
        <f t="shared" si="2"/>
        <v>84.666666666666671</v>
      </c>
      <c r="K127">
        <f t="shared" si="3"/>
        <v>508.00126999999998</v>
      </c>
    </row>
    <row r="128" spans="1:11">
      <c r="A128" s="1">
        <v>127</v>
      </c>
      <c r="B128" s="2" t="s">
        <v>137</v>
      </c>
      <c r="C128" s="2">
        <v>87</v>
      </c>
      <c r="D128" s="2">
        <v>85</v>
      </c>
      <c r="E128">
        <v>88</v>
      </c>
      <c r="F128">
        <v>84</v>
      </c>
      <c r="G128">
        <v>89</v>
      </c>
      <c r="H128">
        <v>86</v>
      </c>
      <c r="I128">
        <v>519</v>
      </c>
      <c r="J128" s="4">
        <f t="shared" si="2"/>
        <v>86.5</v>
      </c>
      <c r="K128">
        <f t="shared" si="3"/>
        <v>519.00127999999995</v>
      </c>
    </row>
    <row r="129" spans="1:11">
      <c r="A129" s="1">
        <v>128</v>
      </c>
      <c r="B129" s="2" t="s">
        <v>138</v>
      </c>
      <c r="C129" s="2">
        <v>78</v>
      </c>
      <c r="D129" s="2">
        <v>76</v>
      </c>
      <c r="E129">
        <v>80</v>
      </c>
      <c r="F129">
        <v>74</v>
      </c>
      <c r="G129">
        <v>82</v>
      </c>
      <c r="H129">
        <v>78</v>
      </c>
      <c r="I129">
        <v>468</v>
      </c>
      <c r="J129" s="4">
        <f t="shared" si="2"/>
        <v>78</v>
      </c>
      <c r="K129">
        <f t="shared" si="3"/>
        <v>468.00128999999998</v>
      </c>
    </row>
    <row r="130" spans="1:11">
      <c r="A130" s="1">
        <v>129</v>
      </c>
      <c r="B130" s="2" t="s">
        <v>139</v>
      </c>
      <c r="C130" s="2">
        <v>91</v>
      </c>
      <c r="D130" s="2">
        <v>88</v>
      </c>
      <c r="E130">
        <v>90</v>
      </c>
      <c r="F130">
        <v>86</v>
      </c>
      <c r="G130">
        <v>92</v>
      </c>
      <c r="H130">
        <v>89</v>
      </c>
      <c r="I130">
        <v>536</v>
      </c>
      <c r="J130" s="4">
        <f t="shared" si="2"/>
        <v>89.333333333333329</v>
      </c>
      <c r="K130">
        <f t="shared" si="3"/>
        <v>536.00130000000001</v>
      </c>
    </row>
    <row r="131" spans="1:11">
      <c r="A131" s="1">
        <v>130</v>
      </c>
      <c r="B131" s="2" t="s">
        <v>140</v>
      </c>
      <c r="C131" s="2">
        <v>83</v>
      </c>
      <c r="D131" s="2">
        <v>81</v>
      </c>
      <c r="E131">
        <v>85</v>
      </c>
      <c r="F131">
        <v>79</v>
      </c>
      <c r="G131">
        <v>86</v>
      </c>
      <c r="H131">
        <v>83</v>
      </c>
      <c r="I131">
        <v>497</v>
      </c>
      <c r="J131" s="4">
        <f t="shared" ref="J131:J150" si="4">I131/600*100</f>
        <v>82.833333333333343</v>
      </c>
      <c r="K131">
        <f t="shared" ref="K131:K151" si="5">I131+(ROW()/100000)</f>
        <v>497.00130999999999</v>
      </c>
    </row>
    <row r="132" spans="1:11">
      <c r="A132" s="1">
        <v>131</v>
      </c>
      <c r="B132" s="2" t="s">
        <v>141</v>
      </c>
      <c r="C132" s="2">
        <v>77</v>
      </c>
      <c r="D132" s="2">
        <v>75</v>
      </c>
      <c r="E132">
        <v>79</v>
      </c>
      <c r="F132">
        <v>73</v>
      </c>
      <c r="G132">
        <v>81</v>
      </c>
      <c r="H132">
        <v>77</v>
      </c>
      <c r="I132">
        <v>462</v>
      </c>
      <c r="J132" s="4">
        <f t="shared" si="4"/>
        <v>77</v>
      </c>
      <c r="K132">
        <f t="shared" si="5"/>
        <v>462.00132000000002</v>
      </c>
    </row>
    <row r="133" spans="1:11">
      <c r="A133" s="1">
        <v>132</v>
      </c>
      <c r="B133" s="2" t="s">
        <v>142</v>
      </c>
      <c r="C133" s="2">
        <v>90</v>
      </c>
      <c r="D133" s="2">
        <v>87</v>
      </c>
      <c r="E133">
        <v>89</v>
      </c>
      <c r="F133">
        <v>85</v>
      </c>
      <c r="G133">
        <v>91</v>
      </c>
      <c r="H133">
        <v>88</v>
      </c>
      <c r="I133">
        <v>530</v>
      </c>
      <c r="J133" s="4">
        <f t="shared" si="4"/>
        <v>88.333333333333329</v>
      </c>
      <c r="K133">
        <f t="shared" si="5"/>
        <v>530.00133000000005</v>
      </c>
    </row>
    <row r="134" spans="1:11">
      <c r="A134" s="1">
        <v>133</v>
      </c>
      <c r="B134" s="2" t="s">
        <v>143</v>
      </c>
      <c r="C134" s="2">
        <v>82</v>
      </c>
      <c r="D134" s="2">
        <v>80</v>
      </c>
      <c r="E134">
        <v>84</v>
      </c>
      <c r="F134">
        <v>78</v>
      </c>
      <c r="G134">
        <v>85</v>
      </c>
      <c r="H134">
        <v>82</v>
      </c>
      <c r="I134">
        <v>491</v>
      </c>
      <c r="J134" s="4">
        <f t="shared" si="4"/>
        <v>81.833333333333343</v>
      </c>
      <c r="K134">
        <f t="shared" si="5"/>
        <v>491.00134000000003</v>
      </c>
    </row>
    <row r="135" spans="1:11">
      <c r="A135" s="1">
        <v>134</v>
      </c>
      <c r="B135" s="2" t="s">
        <v>144</v>
      </c>
      <c r="C135" s="2">
        <v>79</v>
      </c>
      <c r="D135" s="2">
        <v>77</v>
      </c>
      <c r="E135">
        <v>81</v>
      </c>
      <c r="F135">
        <v>75</v>
      </c>
      <c r="G135">
        <v>83</v>
      </c>
      <c r="H135">
        <v>79</v>
      </c>
      <c r="I135">
        <v>474</v>
      </c>
      <c r="J135" s="4">
        <f t="shared" si="4"/>
        <v>79</v>
      </c>
      <c r="K135">
        <f t="shared" si="5"/>
        <v>474.00135</v>
      </c>
    </row>
    <row r="136" spans="1:11">
      <c r="A136" s="1">
        <v>135</v>
      </c>
      <c r="B136" s="2" t="s">
        <v>145</v>
      </c>
      <c r="C136" s="2">
        <v>93</v>
      </c>
      <c r="D136" s="2">
        <v>90</v>
      </c>
      <c r="E136">
        <v>92</v>
      </c>
      <c r="F136">
        <v>88</v>
      </c>
      <c r="G136">
        <v>94</v>
      </c>
      <c r="H136">
        <v>91</v>
      </c>
      <c r="I136">
        <v>548</v>
      </c>
      <c r="J136" s="4">
        <f t="shared" si="4"/>
        <v>91.333333333333329</v>
      </c>
      <c r="K136">
        <f t="shared" si="5"/>
        <v>548.00135999999998</v>
      </c>
    </row>
    <row r="137" spans="1:11">
      <c r="A137" s="1">
        <v>136</v>
      </c>
      <c r="B137" s="2" t="s">
        <v>146</v>
      </c>
      <c r="C137" s="2">
        <v>84</v>
      </c>
      <c r="D137" s="2">
        <v>82</v>
      </c>
      <c r="E137">
        <v>86</v>
      </c>
      <c r="F137">
        <v>80</v>
      </c>
      <c r="G137">
        <v>88</v>
      </c>
      <c r="H137">
        <v>85</v>
      </c>
      <c r="I137">
        <v>505</v>
      </c>
      <c r="J137" s="4">
        <f t="shared" si="4"/>
        <v>84.166666666666671</v>
      </c>
      <c r="K137">
        <f t="shared" si="5"/>
        <v>505.00137000000001</v>
      </c>
    </row>
    <row r="138" spans="1:11">
      <c r="A138" s="1">
        <v>137</v>
      </c>
      <c r="B138" s="2" t="s">
        <v>147</v>
      </c>
      <c r="C138" s="2">
        <v>86</v>
      </c>
      <c r="D138" s="2">
        <v>84</v>
      </c>
      <c r="E138">
        <v>87</v>
      </c>
      <c r="F138">
        <v>81</v>
      </c>
      <c r="G138">
        <v>89</v>
      </c>
      <c r="H138">
        <v>85</v>
      </c>
      <c r="I138">
        <v>512</v>
      </c>
      <c r="J138" s="4">
        <f t="shared" si="4"/>
        <v>85.333333333333343</v>
      </c>
      <c r="K138">
        <f t="shared" si="5"/>
        <v>512.00138000000004</v>
      </c>
    </row>
    <row r="139" spans="1:11">
      <c r="A139" s="1">
        <v>138</v>
      </c>
      <c r="B139" s="2" t="s">
        <v>148</v>
      </c>
      <c r="C139" s="2">
        <v>76</v>
      </c>
      <c r="D139" s="2">
        <v>74</v>
      </c>
      <c r="E139">
        <v>78</v>
      </c>
      <c r="F139">
        <v>72</v>
      </c>
      <c r="G139">
        <v>80</v>
      </c>
      <c r="H139">
        <v>76</v>
      </c>
      <c r="I139">
        <v>456</v>
      </c>
      <c r="J139" s="4">
        <f t="shared" si="4"/>
        <v>76</v>
      </c>
      <c r="K139">
        <f t="shared" si="5"/>
        <v>456.00139000000001</v>
      </c>
    </row>
    <row r="140" spans="1:11">
      <c r="A140" s="1">
        <v>139</v>
      </c>
      <c r="B140" s="2" t="s">
        <v>149</v>
      </c>
      <c r="C140" s="2">
        <v>88</v>
      </c>
      <c r="D140" s="2">
        <v>86</v>
      </c>
      <c r="E140">
        <v>89</v>
      </c>
      <c r="F140">
        <v>85</v>
      </c>
      <c r="G140">
        <v>90</v>
      </c>
      <c r="H140">
        <v>87</v>
      </c>
      <c r="I140">
        <v>525</v>
      </c>
      <c r="J140" s="4">
        <f t="shared" si="4"/>
        <v>87.5</v>
      </c>
      <c r="K140">
        <f t="shared" si="5"/>
        <v>525.00139999999999</v>
      </c>
    </row>
    <row r="141" spans="1:11">
      <c r="A141" s="1">
        <v>140</v>
      </c>
      <c r="B141" s="2" t="s">
        <v>150</v>
      </c>
      <c r="C141" s="2">
        <v>75</v>
      </c>
      <c r="D141" s="2">
        <v>73</v>
      </c>
      <c r="E141">
        <v>77</v>
      </c>
      <c r="F141">
        <v>71</v>
      </c>
      <c r="G141">
        <v>79</v>
      </c>
      <c r="H141">
        <v>75</v>
      </c>
      <c r="I141">
        <v>450</v>
      </c>
      <c r="J141" s="4">
        <f t="shared" si="4"/>
        <v>75</v>
      </c>
      <c r="K141">
        <f t="shared" si="5"/>
        <v>450.00141000000002</v>
      </c>
    </row>
    <row r="142" spans="1:11">
      <c r="A142" s="1">
        <v>141</v>
      </c>
      <c r="B142" s="2" t="s">
        <v>151</v>
      </c>
      <c r="C142" s="2">
        <v>92</v>
      </c>
      <c r="D142" s="2">
        <v>89</v>
      </c>
      <c r="E142">
        <v>91</v>
      </c>
      <c r="F142">
        <v>87</v>
      </c>
      <c r="G142">
        <v>93</v>
      </c>
      <c r="H142">
        <v>90</v>
      </c>
      <c r="I142">
        <v>542</v>
      </c>
      <c r="J142" s="4">
        <f t="shared" si="4"/>
        <v>90.333333333333329</v>
      </c>
      <c r="K142">
        <f t="shared" si="5"/>
        <v>542.00142000000005</v>
      </c>
    </row>
    <row r="143" spans="1:11">
      <c r="A143" s="1">
        <v>142</v>
      </c>
      <c r="B143" s="2" t="s">
        <v>152</v>
      </c>
      <c r="C143" s="2">
        <v>81</v>
      </c>
      <c r="D143" s="2">
        <v>79</v>
      </c>
      <c r="E143">
        <v>83</v>
      </c>
      <c r="F143">
        <v>77</v>
      </c>
      <c r="G143">
        <v>85</v>
      </c>
      <c r="H143">
        <v>81</v>
      </c>
      <c r="I143">
        <v>486</v>
      </c>
      <c r="J143" s="4">
        <f t="shared" si="4"/>
        <v>81</v>
      </c>
      <c r="K143">
        <f t="shared" si="5"/>
        <v>486.00143000000003</v>
      </c>
    </row>
    <row r="144" spans="1:11">
      <c r="A144" s="1">
        <v>143</v>
      </c>
      <c r="B144" s="2" t="s">
        <v>153</v>
      </c>
      <c r="C144" s="2">
        <v>89</v>
      </c>
      <c r="D144" s="2">
        <v>87</v>
      </c>
      <c r="E144">
        <v>90</v>
      </c>
      <c r="F144">
        <v>86</v>
      </c>
      <c r="G144">
        <v>91</v>
      </c>
      <c r="H144">
        <v>88</v>
      </c>
      <c r="I144">
        <v>531</v>
      </c>
      <c r="J144" s="4">
        <f t="shared" si="4"/>
        <v>88.5</v>
      </c>
      <c r="K144">
        <f t="shared" si="5"/>
        <v>531.00144</v>
      </c>
    </row>
    <row r="145" spans="1:11">
      <c r="A145" s="1">
        <v>144</v>
      </c>
      <c r="B145" s="2" t="s">
        <v>154</v>
      </c>
      <c r="C145" s="2">
        <v>80</v>
      </c>
      <c r="D145" s="2">
        <v>78</v>
      </c>
      <c r="E145">
        <v>82</v>
      </c>
      <c r="F145">
        <v>76</v>
      </c>
      <c r="G145">
        <v>84</v>
      </c>
      <c r="H145">
        <v>80</v>
      </c>
      <c r="I145">
        <v>480</v>
      </c>
      <c r="J145" s="4">
        <f t="shared" si="4"/>
        <v>80</v>
      </c>
      <c r="K145">
        <f t="shared" si="5"/>
        <v>480.00144999999998</v>
      </c>
    </row>
    <row r="146" spans="1:11">
      <c r="A146" s="1">
        <v>145</v>
      </c>
      <c r="B146" s="2" t="s">
        <v>155</v>
      </c>
      <c r="C146" s="2">
        <v>85</v>
      </c>
      <c r="D146" s="2">
        <v>83</v>
      </c>
      <c r="E146">
        <v>86</v>
      </c>
      <c r="F146">
        <v>82</v>
      </c>
      <c r="G146">
        <v>88</v>
      </c>
      <c r="H146">
        <v>84</v>
      </c>
      <c r="I146">
        <v>508</v>
      </c>
      <c r="J146" s="4">
        <f t="shared" si="4"/>
        <v>84.666666666666671</v>
      </c>
      <c r="K146">
        <f t="shared" si="5"/>
        <v>508.00146000000001</v>
      </c>
    </row>
    <row r="147" spans="1:11">
      <c r="A147" s="1">
        <v>146</v>
      </c>
      <c r="B147" s="2" t="s">
        <v>156</v>
      </c>
      <c r="C147" s="2">
        <v>87</v>
      </c>
      <c r="D147" s="2">
        <v>85</v>
      </c>
      <c r="E147">
        <v>88</v>
      </c>
      <c r="F147">
        <v>84</v>
      </c>
      <c r="G147">
        <v>89</v>
      </c>
      <c r="H147">
        <v>86</v>
      </c>
      <c r="I147">
        <v>519</v>
      </c>
      <c r="J147" s="4">
        <f t="shared" si="4"/>
        <v>86.5</v>
      </c>
      <c r="K147">
        <f t="shared" si="5"/>
        <v>519.00147000000004</v>
      </c>
    </row>
    <row r="148" spans="1:11">
      <c r="A148" s="1">
        <v>147</v>
      </c>
      <c r="B148" s="2" t="s">
        <v>157</v>
      </c>
      <c r="C148" s="2">
        <v>78</v>
      </c>
      <c r="D148" s="2">
        <v>76</v>
      </c>
      <c r="E148">
        <v>80</v>
      </c>
      <c r="F148">
        <v>74</v>
      </c>
      <c r="G148">
        <v>82</v>
      </c>
      <c r="H148">
        <v>78</v>
      </c>
      <c r="I148">
        <v>468</v>
      </c>
      <c r="J148" s="4">
        <f t="shared" si="4"/>
        <v>78</v>
      </c>
      <c r="K148">
        <f t="shared" si="5"/>
        <v>468.00148000000002</v>
      </c>
    </row>
    <row r="149" spans="1:11">
      <c r="A149" s="1">
        <v>148</v>
      </c>
      <c r="B149" s="2" t="s">
        <v>158</v>
      </c>
      <c r="C149" s="2">
        <v>91</v>
      </c>
      <c r="D149" s="2">
        <v>88</v>
      </c>
      <c r="E149">
        <v>90</v>
      </c>
      <c r="F149">
        <v>86</v>
      </c>
      <c r="G149">
        <v>92</v>
      </c>
      <c r="H149">
        <v>89</v>
      </c>
      <c r="I149">
        <v>536</v>
      </c>
      <c r="J149" s="4">
        <f t="shared" si="4"/>
        <v>89.333333333333329</v>
      </c>
      <c r="K149">
        <f t="shared" si="5"/>
        <v>536.00148999999999</v>
      </c>
    </row>
    <row r="150" spans="1:11">
      <c r="A150" s="1">
        <v>149</v>
      </c>
      <c r="B150" s="2" t="s">
        <v>159</v>
      </c>
      <c r="C150" s="2">
        <v>83</v>
      </c>
      <c r="D150" s="2">
        <v>81</v>
      </c>
      <c r="E150">
        <v>85</v>
      </c>
      <c r="F150">
        <v>79</v>
      </c>
      <c r="G150">
        <v>86</v>
      </c>
      <c r="H150">
        <v>83</v>
      </c>
      <c r="I150">
        <v>497</v>
      </c>
      <c r="J150" s="4">
        <f t="shared" si="4"/>
        <v>82.833333333333343</v>
      </c>
      <c r="K150">
        <f t="shared" si="5"/>
        <v>497.00150000000002</v>
      </c>
    </row>
    <row r="151" spans="1:11">
      <c r="A151" s="1">
        <v>150</v>
      </c>
      <c r="B151" s="2" t="s">
        <v>160</v>
      </c>
      <c r="C151" s="2">
        <v>94</v>
      </c>
      <c r="D151" s="2">
        <v>91</v>
      </c>
      <c r="E151">
        <v>93</v>
      </c>
      <c r="F151">
        <v>89</v>
      </c>
      <c r="G151">
        <v>95</v>
      </c>
      <c r="H151">
        <v>92</v>
      </c>
      <c r="I151">
        <v>554</v>
      </c>
      <c r="J151" s="4">
        <f t="shared" ref="J131:J151" si="6">I151/600*100</f>
        <v>92.333333333333329</v>
      </c>
      <c r="K151">
        <f t="shared" si="5"/>
        <v>554.00151000000005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4753-BBE7-4C92-978B-90C8281D6D26}">
  <dimension ref="A1:E7"/>
  <sheetViews>
    <sheetView workbookViewId="0">
      <selection activeCell="E10" sqref="E10"/>
    </sheetView>
  </sheetViews>
  <sheetFormatPr defaultRowHeight="15"/>
  <cols>
    <col min="1" max="1" width="11.42578125" customWidth="1"/>
    <col min="2" max="2" width="12.85546875" customWidth="1"/>
    <col min="3" max="3" width="27.42578125" bestFit="1" customWidth="1"/>
    <col min="4" max="4" width="11.140625" customWidth="1"/>
  </cols>
  <sheetData>
    <row r="1" spans="1:5" ht="30.75">
      <c r="A1" t="s">
        <v>161</v>
      </c>
      <c r="B1" s="3" t="s">
        <v>162</v>
      </c>
      <c r="C1" t="s">
        <v>163</v>
      </c>
      <c r="D1" t="s">
        <v>161</v>
      </c>
      <c r="E1" s="3" t="s">
        <v>162</v>
      </c>
    </row>
    <row r="2" spans="1:5">
      <c r="A2" t="s">
        <v>164</v>
      </c>
      <c r="B2" s="3">
        <f>AVERAGE('Raw Data'!C2:C151)</f>
        <v>84.04</v>
      </c>
      <c r="C2" t="s">
        <v>165</v>
      </c>
      <c r="D2" t="s">
        <v>164</v>
      </c>
      <c r="E2" s="3">
        <v>84.04</v>
      </c>
    </row>
    <row r="3" spans="1:5">
      <c r="A3" t="s">
        <v>3</v>
      </c>
      <c r="B3" s="3">
        <f>AVERAGE('Raw Data'!D3:D152)</f>
        <v>81.731543624161077</v>
      </c>
      <c r="C3" t="s">
        <v>165</v>
      </c>
      <c r="D3" t="s">
        <v>3</v>
      </c>
      <c r="E3" s="3">
        <v>81.73</v>
      </c>
    </row>
    <row r="4" spans="1:5">
      <c r="A4" t="s">
        <v>4</v>
      </c>
      <c r="B4" s="3">
        <f>AVERAGE('Raw Data'!E4:E153)</f>
        <v>85.040540540540547</v>
      </c>
      <c r="C4" t="s">
        <v>166</v>
      </c>
      <c r="D4" t="s">
        <v>4</v>
      </c>
      <c r="E4" s="3">
        <v>85.04</v>
      </c>
    </row>
    <row r="5" spans="1:5" ht="30.75">
      <c r="A5" s="3" t="s">
        <v>167</v>
      </c>
      <c r="B5" s="3">
        <f>AVERAGE('Raw Data'!F5:F154)</f>
        <v>79.952380952380949</v>
      </c>
      <c r="C5" t="s">
        <v>168</v>
      </c>
      <c r="D5" s="3" t="s">
        <v>167</v>
      </c>
      <c r="E5" s="3">
        <v>79.95</v>
      </c>
    </row>
    <row r="6" spans="1:5">
      <c r="A6" t="s">
        <v>6</v>
      </c>
      <c r="B6" s="3">
        <f>AVERAGE('Raw Data'!G6:G155)</f>
        <v>86.828767123287676</v>
      </c>
      <c r="C6" t="s">
        <v>166</v>
      </c>
      <c r="D6" t="s">
        <v>6</v>
      </c>
      <c r="E6" s="3">
        <v>86.82</v>
      </c>
    </row>
    <row r="7" spans="1:5">
      <c r="A7" t="s">
        <v>7</v>
      </c>
      <c r="B7" s="3">
        <f>AVERAGE('Raw Data'!H7:H156)</f>
        <v>83.365517241379308</v>
      </c>
      <c r="C7" t="s">
        <v>165</v>
      </c>
      <c r="D7" t="s">
        <v>7</v>
      </c>
      <c r="E7" s="3">
        <v>83.36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918D9-82E6-436C-924F-9D95CB1911EF}">
  <dimension ref="A1:C8"/>
  <sheetViews>
    <sheetView workbookViewId="0">
      <selection sqref="A1:B8"/>
    </sheetView>
  </sheetViews>
  <sheetFormatPr defaultRowHeight="15"/>
  <cols>
    <col min="1" max="2" width="15.42578125" customWidth="1"/>
    <col min="3" max="3" width="36.5703125" customWidth="1"/>
    <col min="5" max="5" width="10.7109375" bestFit="1" customWidth="1"/>
  </cols>
  <sheetData>
    <row r="1" spans="1:3">
      <c r="A1" s="3" t="s">
        <v>169</v>
      </c>
      <c r="B1" s="3" t="s">
        <v>170</v>
      </c>
      <c r="C1" s="3"/>
    </row>
    <row r="2" spans="1:3">
      <c r="A2" s="3" t="s">
        <v>171</v>
      </c>
      <c r="B2" s="3">
        <f>COUNTIFS('Raw Data'!$J$2:$J$151,"&gt;=90",'Raw Data'!$J$2:$J$151,"&lt;=100")</f>
        <v>18</v>
      </c>
      <c r="C2" s="3"/>
    </row>
    <row r="3" spans="1:3">
      <c r="A3" s="3" t="s">
        <v>172</v>
      </c>
      <c r="B3" s="3">
        <f>COUNTIFS('Raw Data'!$J$2:$J$151,"&gt;=80",'Raw Data'!$J$2:$J$151,"&lt;90")</f>
        <v>93</v>
      </c>
      <c r="C3" s="3"/>
    </row>
    <row r="4" spans="1:3">
      <c r="A4" s="3" t="s">
        <v>173</v>
      </c>
      <c r="B4" s="3">
        <f>COUNTIFS('Raw Data'!$J$2:$J$151,"&gt;=70",'Raw Data'!$J$2:$J$151,"&lt;80")</f>
        <v>39</v>
      </c>
      <c r="C4" s="3"/>
    </row>
    <row r="5" spans="1:3">
      <c r="A5" s="3" t="s">
        <v>174</v>
      </c>
      <c r="B5" s="3">
        <f>COUNTIFS('Raw Data'!$J$2:$J$151,"&gt;=60",'Raw Data'!$J$2:$J$151,"&lt;70")</f>
        <v>0</v>
      </c>
      <c r="C5" s="3"/>
    </row>
    <row r="6" spans="1:3">
      <c r="A6" s="3" t="s">
        <v>175</v>
      </c>
      <c r="B6" s="3">
        <f>COUNTIFS('Raw Data'!$J$2:$J$151,"&lt;60")</f>
        <v>0</v>
      </c>
      <c r="C6" s="3"/>
    </row>
    <row r="7" spans="1:3">
      <c r="B7" s="3"/>
    </row>
    <row r="8" spans="1:3">
      <c r="A8" t="s">
        <v>176</v>
      </c>
      <c r="B8">
        <f>SUM(B2:B6)</f>
        <v>150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D2305-CC49-4BCA-8D82-5381EAEBD245}">
  <dimension ref="A1:D21"/>
  <sheetViews>
    <sheetView tabSelected="1" workbookViewId="0"/>
  </sheetViews>
  <sheetFormatPr defaultRowHeight="15"/>
  <cols>
    <col min="1" max="1" width="36.5703125" style="1" bestFit="1" customWidth="1"/>
    <col min="2" max="2" width="36.5703125" bestFit="1" customWidth="1"/>
    <col min="3" max="3" width="13.85546875" bestFit="1" customWidth="1"/>
    <col min="4" max="4" width="36.5703125" bestFit="1" customWidth="1"/>
  </cols>
  <sheetData>
    <row r="1" spans="1:4" ht="32.25">
      <c r="A1" s="9" t="s">
        <v>177</v>
      </c>
    </row>
    <row r="2" spans="1:4">
      <c r="A2" s="1" t="s">
        <v>178</v>
      </c>
    </row>
    <row r="3" spans="1:4">
      <c r="A3" s="1" t="s">
        <v>179</v>
      </c>
      <c r="B3">
        <f>COUNTA('Raw Data'!A:A)-1</f>
        <v>150</v>
      </c>
    </row>
    <row r="4" spans="1:4">
      <c r="A4" s="1" t="s">
        <v>180</v>
      </c>
      <c r="B4" s="4">
        <f>ROUND(AVERAGE('Raw Data'!F2:F151),2)</f>
        <v>79.91</v>
      </c>
    </row>
    <row r="5" spans="1:4" s="7" customFormat="1">
      <c r="A5" s="7" t="s">
        <v>181</v>
      </c>
      <c r="B5" s="7">
        <f>COUNTIF('Raw Data'!G2:G151,"&lt;&gt;F")/COUNTA('Raw Data'!G2:G151)</f>
        <v>1</v>
      </c>
    </row>
    <row r="6" spans="1:4">
      <c r="A6" s="2" t="s">
        <v>182</v>
      </c>
      <c r="B6">
        <f>MAX('Raw Data'!F2:F151)</f>
        <v>89</v>
      </c>
    </row>
    <row r="9" spans="1:4">
      <c r="A9" t="s">
        <v>183</v>
      </c>
      <c r="B9" t="s">
        <v>184</v>
      </c>
      <c r="C9" t="s">
        <v>185</v>
      </c>
      <c r="D9" t="s">
        <v>186</v>
      </c>
    </row>
    <row r="10" spans="1:4" ht="45.75">
      <c r="A10" s="1">
        <v>1</v>
      </c>
      <c r="B10" s="3">
        <f>INDEX('Raw Data'!$A:$A, MATCH(LARGE('Raw Data'!$K:$K,1), 'Raw Data'!$K:$K, 0))</f>
        <v>150</v>
      </c>
      <c r="C10" t="str">
        <f>INDEX('Raw Data'!$B:$B, MATCH(LARGE('Raw Data'!$K:$K,1), 'Raw Data'!$K:$K, 0))</f>
        <v>Rankini Patel</v>
      </c>
      <c r="D10" s="8">
        <f>INDEX('Raw Data'!$I:$I, MATCH(LARGE('Raw Data'!$K:$K,1), 'Raw Data'!$K:$K, 0))</f>
        <v>554</v>
      </c>
    </row>
    <row r="11" spans="1:4" ht="45.75">
      <c r="A11" s="1">
        <v>2</v>
      </c>
      <c r="B11" s="8">
        <f>INDEX('Raw Data'!$A:$A, MATCH(LARGE('Raw Data'!$K:$K,2), 'Raw Data'!$K:$K, 0))</f>
        <v>61</v>
      </c>
      <c r="C11" t="str">
        <f>INDEX('Raw Data'!$B:$B, MATCH(LARGE('Raw Data'!$K:$K,2), 'Raw Data'!$K:$K, 0))</f>
        <v>Pankhuri Singh</v>
      </c>
      <c r="D11" s="3">
        <f>INDEX('Raw Data'!$I:$I, MATCH(LARGE('Raw Data'!$K:$K,2), 'Raw Data'!$K:$K, 0))</f>
        <v>554</v>
      </c>
    </row>
    <row r="12" spans="1:4">
      <c r="A12" s="1">
        <v>3</v>
      </c>
      <c r="B12" s="8">
        <f>INDEX('Raw Data'!$A:$A, MATCH(LARGE('Raw Data'!$K:$K,3), 'Raw Data'!$K:$K, 0))</f>
        <v>27</v>
      </c>
      <c r="C12" t="str">
        <f>INDEX('Raw Data'!$B:$B, MATCH(LARGE('Raw Data'!$K:$K,3), 'Raw Data'!$K:$K, 0))</f>
        <v>Kavya Nair</v>
      </c>
      <c r="D12">
        <f>INDEX('Raw Data'!$I:$I, MATCH(LARGE('Raw Data'!$K:$K,3), 'Raw Data'!$K:$K, 0))</f>
        <v>554</v>
      </c>
    </row>
    <row r="13" spans="1:4">
      <c r="A13" s="1">
        <v>4</v>
      </c>
      <c r="B13" s="8">
        <f>INDEX('Raw Data'!$A:$A, MATCH(LARGE('Raw Data'!$K:$K,4), 'Raw Data'!$K:$K, 0))</f>
        <v>6</v>
      </c>
      <c r="C13" t="str">
        <f>INDEX('Raw Data'!$B:$B, MATCH(LARGE('Raw Data'!$K:$K,4), 'Raw Data'!$K:$K, 0))</f>
        <v>Bhavna Gupta</v>
      </c>
      <c r="D13">
        <f>INDEX('Raw Data'!$I:$I, MATCH(LARGE('Raw Data'!$K:$K,4), 'Raw Data'!$K:$K, 0))</f>
        <v>550</v>
      </c>
    </row>
    <row r="14" spans="1:4">
      <c r="A14" s="1">
        <v>5</v>
      </c>
      <c r="B14" s="8">
        <f>INDEX('Raw Data'!$A:$A, MATCH(LARGE('Raw Data'!$K:$K,5), 'Raw Data'!$K:$K, 0))</f>
        <v>135</v>
      </c>
      <c r="C14" t="str">
        <f>INDEX('Raw Data'!$B:$B, MATCH(LARGE('Raw Data'!$K:$K,5), 'Raw Data'!$K:$K, 0))</f>
        <v>Ranith Gupta</v>
      </c>
      <c r="D14">
        <f>INDEX('Raw Data'!$I:$I, MATCH(LARGE('Raw Data'!$K:$K,5), 'Raw Data'!$K:$K, 0))</f>
        <v>548</v>
      </c>
    </row>
    <row r="15" spans="1:4">
      <c r="B15" s="8"/>
    </row>
    <row r="16" spans="1:4">
      <c r="A16" s="1" t="s">
        <v>183</v>
      </c>
      <c r="B16" t="s">
        <v>184</v>
      </c>
      <c r="C16" t="s">
        <v>185</v>
      </c>
      <c r="D16" t="s">
        <v>186</v>
      </c>
    </row>
    <row r="17" spans="1:4">
      <c r="A17" s="1">
        <v>1</v>
      </c>
      <c r="B17">
        <f>INDEX('Raw Data'!$A:$A, MATCH(SMALL('Raw Data'!$K:$K,1), 'Raw Data'!$K:$K, 0))</f>
        <v>7</v>
      </c>
      <c r="C17" t="str">
        <f>INDEX('Raw Data'!$B:$B, MATCH(SMALL('Raw Data'!$K:$K,1), 'Raw Data'!$K:$K, 0))</f>
        <v>Chirag Desai</v>
      </c>
      <c r="D17">
        <f>INDEX('Raw Data'!$I:$I, MATCH(SMALL('Raw Data'!$K:$K,1), 'Raw Data'!$K:$K, 0))</f>
        <v>433</v>
      </c>
    </row>
    <row r="18" spans="1:4">
      <c r="A18" s="1">
        <v>2</v>
      </c>
      <c r="B18">
        <f>INDEX('Raw Data'!$A:$A, MATCH(SMALL('Raw Data'!$K:$K,2), 'Raw Data'!$K:$K, 0))</f>
        <v>21</v>
      </c>
      <c r="C18" t="str">
        <f>INDEX('Raw Data'!$B:$B, MATCH(SMALL('Raw Data'!$K:$K,2), 'Raw Data'!$K:$K, 0))</f>
        <v>Jagat Singh</v>
      </c>
      <c r="D18">
        <f>INDEX('Raw Data'!$I:$I, MATCH(SMALL('Raw Data'!$K:$K,2), 'Raw Data'!$K:$K, 0))</f>
        <v>443</v>
      </c>
    </row>
    <row r="19" spans="1:4">
      <c r="A19" s="1">
        <v>3</v>
      </c>
      <c r="B19">
        <f>INDEX('Raw Data'!$A:$A, MATCH(SMALL('Raw Data'!$K:$K,3), 'Raw Data'!$K:$K, 0))</f>
        <v>26</v>
      </c>
      <c r="C19" t="str">
        <f>INDEX('Raw Data'!$B:$B, MATCH(SMALL('Raw Data'!$K:$K,3), 'Raw Data'!$K:$K, 0))</f>
        <v>Kabir Ahmed</v>
      </c>
      <c r="D19">
        <f>INDEX('Raw Data'!$I:$I, MATCH(SMALL('Raw Data'!$K:$K,3), 'Raw Data'!$K:$K, 0))</f>
        <v>450</v>
      </c>
    </row>
    <row r="20" spans="1:4">
      <c r="A20" s="1">
        <v>4</v>
      </c>
      <c r="B20">
        <f>INDEX('Raw Data'!$A:$A, MATCH(SMALL('Raw Data'!$K:$K,4), 'Raw Data'!$K:$K, 0))</f>
        <v>41</v>
      </c>
      <c r="C20" t="str">
        <f>INDEX('Raw Data'!$B:$B, MATCH(SMALL('Raw Data'!$K:$K,4), 'Raw Data'!$K:$K, 0))</f>
        <v>Megha Singh</v>
      </c>
      <c r="D20">
        <f>INDEX('Raw Data'!$I:$I, MATCH(SMALL('Raw Data'!$K:$K,4), 'Raw Data'!$K:$K, 0))</f>
        <v>450</v>
      </c>
    </row>
    <row r="21" spans="1:4">
      <c r="A21" s="1">
        <v>5</v>
      </c>
      <c r="B21">
        <f>INDEX('Raw Data'!$A:$A, MATCH(SMALL('Raw Data'!$K:$K,5), 'Raw Data'!$K:$K, 0))</f>
        <v>60</v>
      </c>
      <c r="C21" t="str">
        <f>INDEX('Raw Data'!$B:$B, MATCH(SMALL('Raw Data'!$K:$K,5), 'Raw Data'!$K:$K, 0))</f>
        <v>Pankaj Patel</v>
      </c>
      <c r="D21">
        <f>INDEX('Raw Data'!$I:$I, MATCH(SMALL('Raw Data'!$K:$K,5), 'Raw Data'!$K:$K, 0))</f>
        <v>450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2026-06-28T06:15:10Z</dcterms:created>
  <dcterms:modified xsi:type="dcterms:W3CDTF">2026-07-06T08:50:17Z</dcterms:modified>
  <cp:category/>
  <cp:contentStatus/>
</cp:coreProperties>
</file>